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Story Backlog" sheetId="2" state="visible" r:id="rId4"/>
    <sheet name="2. Sprint Backlog" sheetId="3" state="visible" r:id="rId5"/>
    <sheet name="3. Capacity Calculator" sheetId="4" state="visible" r:id="rId6"/>
    <sheet name="4. Velocity Tracker" sheetId="5" state="visible" r:id="rId7"/>
    <sheet name="5. Sprint Retrospectives" sheetId="6" state="visible" r:id="rId8"/>
    <sheet name="6. Impediment Log" sheetId="7" state="visible" r:id="rId9"/>
    <sheet name="7. Feature Flag Register" sheetId="8" state="visible" r:id="rId10"/>
    <sheet name="8. Tech Debt Register" sheetId="9" state="visible" r:id="rId11"/>
    <sheet name="9. Code Review Findings" sheetId="10" state="visible" r:id="rId12"/>
    <sheet name="10. Build Phase Risks" sheetId="11" state="visible" r:id="rId13"/>
    <sheet name="11. Build Dashboard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<sst xmlns="http://schemas.openxmlformats.org/spreadsheetml/2006/main" count="1675" uniqueCount="810">
  <si>
    <t xml:space="preserve">Phase 3 — Build</t>
  </si>
  <si>
    <t xml:space="preserve">Purpose</t>
  </si>
  <si>
    <t xml:space="preserve">Deliver MVP and subsequent increments through sprint-by-sprint execution with sustained quality.</t>
  </si>
  <si>
    <t xml:space="preserve">Duration</t>
  </si>
  <si>
    <t xml:space="preserve">10-18 months. MVP complete by Month 16; full scope by Month 34.</t>
  </si>
  <si>
    <t xml:space="preserve">Sprint cadence</t>
  </si>
  <si>
    <t xml:space="preserve">2-week sprints. Sprint zero runs overlapping final Design weeks for squad formation.</t>
  </si>
  <si>
    <t xml:space="preserve">Squads</t>
  </si>
  <si>
    <t xml:space="preserve">4 squads aligned to epic streams: Ops Core, Switching Safety, Integration &amp; Data, Platform &amp; Observability. Each squad ~6-8 people led by a Sr Eng.</t>
  </si>
  <si>
    <t xml:space="preserve">Entry criteria</t>
  </si>
  <si>
    <t xml:space="preserve">MVP ADRs accepted. MVP Epics decomposed to initial story level. Platform foundation operational. Definition of Ready and Definition of Done agreed.</t>
  </si>
  <si>
    <t xml:space="preserve">Exit criteria</t>
  </si>
  <si>
    <t xml:space="preserve">MVP in UAT, remaining scope nearing complete, parallel-run decisions informed by actual performance.</t>
  </si>
  <si>
    <t xml:space="preserve">Tabs</t>
  </si>
  <si>
    <t xml:space="preserve">1. Story Backlog</t>
  </si>
  <si>
    <t xml:space="preserve">All stories across all epics. Status progresses Backlog → Refined → Ready → In Sprint → In Test → Done.</t>
  </si>
  <si>
    <t xml:space="preserve">2. Sprint Backlog</t>
  </si>
  <si>
    <t xml:space="preserve">Active sprint + next two sprints. Detailed commitment and progress.</t>
  </si>
  <si>
    <t xml:space="preserve">3. Capacity Calculator</t>
  </si>
  <si>
    <t xml:space="preserve">Per-sprint team capacity factoring allocation, PTO, ceremonies.</t>
  </si>
  <si>
    <t xml:space="preserve">4. Velocity Tracker</t>
  </si>
  <si>
    <t xml:space="preserve">Sprint velocity history with trend.</t>
  </si>
  <si>
    <t xml:space="preserve">5. Sprint Retrospectives</t>
  </si>
  <si>
    <t xml:space="preserve">Keep / Stop / Start items and actions across sprints.</t>
  </si>
  <si>
    <t xml:space="preserve">6. Impediment Log</t>
  </si>
  <si>
    <t xml:space="preserve">Blockers preventing progress. Owner and escalation path.</t>
  </si>
  <si>
    <t xml:space="preserve">7. Feature Flag Register</t>
  </si>
  <si>
    <t xml:space="preserve">Flags, enablement schedule, per-district rollout state.</t>
  </si>
  <si>
    <t xml:space="preserve">8. Tech Debt Register</t>
  </si>
  <si>
    <t xml:space="preserve">Deferred work with paydown priority.</t>
  </si>
  <si>
    <t xml:space="preserve">9. Code Review Findings</t>
  </si>
  <si>
    <t xml:space="preserve">Systemic patterns from code review prompts worth tracking.</t>
  </si>
  <si>
    <t xml:space="preserve">10. Build Phase Risks</t>
  </si>
  <si>
    <t xml:space="preserve">Build-specific risks distinct from program risks.</t>
  </si>
  <si>
    <t xml:space="preserve">11. Build Dashboard</t>
  </si>
  <si>
    <t xml:space="preserve">KPI roll-up: velocity, defect escape, AC coverage, tech debt trend.</t>
  </si>
  <si>
    <t xml:space="preserve">Discipline</t>
  </si>
  <si>
    <t xml:space="preserve">Definition of Ready</t>
  </si>
  <si>
    <t xml:space="preserve">INVEST-checked; Gherkin AC present; size estimated; dependencies resolved; safety-critical Product Council informed.</t>
  </si>
  <si>
    <t xml:space="preserve">Definition of Done</t>
  </si>
  <si>
    <t xml:space="preserve">Code merged; tests passing; AC demonstrated; code reviewed; docs updated; audit events verified; feature flag configured if applicable; observability instrumentation present.</t>
  </si>
  <si>
    <t xml:space="preserve">Safety-critical gating</t>
  </si>
  <si>
    <t xml:space="preserve">Safety-critical stories pair-programmed. Code review by Sr Eng + safety-aware reviewer. Product Council demo before accepting.</t>
  </si>
  <si>
    <t xml:space="preserve">Tech debt limit</t>
  </si>
  <si>
    <t xml:space="preserve">Tech debt ratio capped at 15% of story points. Exceeding triggers paydown sprint or scope decision.</t>
  </si>
  <si>
    <t xml:space="preserve">Rotations</t>
  </si>
  <si>
    <t xml:space="preserve">Junior and mid engineers rotate across squads on a 2-sprint cadence. Seniors anchor. Prevents knowledge silos.</t>
  </si>
  <si>
    <t xml:space="preserve">Story Backlog (program-wide)</t>
  </si>
  <si>
    <t xml:space="preserve">All stories across all Epics. Status advances Backlog → Refined → Ready → In Sprint → In Test → Done.</t>
  </si>
  <si>
    <t xml:space="preserve">Story IDs: US-[EPIC-SHORT]-[NUMBER]. Safety-critical stories require pair-program + dual review + Product Council demo.</t>
  </si>
  <si>
    <t xml:space="preserve">Story ID</t>
  </si>
  <si>
    <t xml:space="preserve">Title</t>
  </si>
  <si>
    <t xml:space="preserve">Epic</t>
  </si>
  <si>
    <t xml:space="preserve">Squad</t>
  </si>
  <si>
    <t xml:space="preserve">Priority</t>
  </si>
  <si>
    <t xml:space="preserve">Safety-Critical?</t>
  </si>
  <si>
    <t xml:space="preserve">Points</t>
  </si>
  <si>
    <t xml:space="preserve">Status</t>
  </si>
  <si>
    <t xml:space="preserve">Sprint</t>
  </si>
  <si>
    <t xml:space="preserve">Assignee</t>
  </si>
  <si>
    <t xml:space="preserve">DoR Check</t>
  </si>
  <si>
    <t xml:space="preserve">DoD Check</t>
  </si>
  <si>
    <t xml:space="preserve">Dependencies</t>
  </si>
  <si>
    <t xml:space="preserve">Notes</t>
  </si>
  <si>
    <t xml:space="preserve">US-SCADA-001</t>
  </si>
  <si>
    <t xml:space="preserve">Consume SCADA event stream with consumer groups</t>
  </si>
  <si>
    <t xml:space="preserve">E-OPS-01</t>
  </si>
  <si>
    <t xml:space="preserve">Integration &amp; Data</t>
  </si>
  <si>
    <t xml:space="preserve">Must</t>
  </si>
  <si>
    <t xml:space="preserve">N</t>
  </si>
  <si>
    <t xml:space="preserve">Done</t>
  </si>
  <si>
    <t xml:space="preserve">S-01</t>
  </si>
  <si>
    <t xml:space="preserve">Eng-A1</t>
  </si>
  <si>
    <t xml:space="preserve">Y</t>
  </si>
  <si>
    <t xml:space="preserve">Platform foundation ready</t>
  </si>
  <si>
    <t xml:space="preserve">US-SCADA-002</t>
  </si>
  <si>
    <t xml:space="preserve">Deduplicate events within sliding 15-minute window</t>
  </si>
  <si>
    <t xml:space="preserve">S-02</t>
  </si>
  <si>
    <t xml:space="preserve">Eng-A2</t>
  </si>
  <si>
    <t xml:space="preserve">US-SCADA-003</t>
  </si>
  <si>
    <t xml:space="preserve">Parse and validate IEC 61850 event schema</t>
  </si>
  <si>
    <t xml:space="preserve">INT-01 signed</t>
  </si>
  <si>
    <t xml:space="preserve">US-SCADA-004</t>
  </si>
  <si>
    <t xml:space="preserve">Correlate events to known devices via device catalog</t>
  </si>
  <si>
    <t xml:space="preserve">In Test</t>
  </si>
  <si>
    <t xml:space="preserve">S-03</t>
  </si>
  <si>
    <t xml:space="preserve">MIG-01 device catalog loaded</t>
  </si>
  <si>
    <t xml:space="preserve">US-SCADA-005</t>
  </si>
  <si>
    <t xml:space="preserve">Handle orphan events (no device match)</t>
  </si>
  <si>
    <t xml:space="preserve">In Sprint</t>
  </si>
  <si>
    <t xml:space="preserve">S-04</t>
  </si>
  <si>
    <t xml:space="preserve">Eng-A3</t>
  </si>
  <si>
    <t xml:space="preserve">US-SCADA-006</t>
  </si>
  <si>
    <t xml:space="preserve">Event replay on consumer restart</t>
  </si>
  <si>
    <t xml:space="preserve">US-SCADA-007</t>
  </si>
  <si>
    <t xml:space="preserve">Daily reconciliation: detect state divergence from SCADA</t>
  </si>
  <si>
    <t xml:space="preserve">Ready</t>
  </si>
  <si>
    <t xml:space="preserve">S-05</t>
  </si>
  <si>
    <t xml:space="preserve">FM-13 mitigation</t>
  </si>
  <si>
    <t xml:space="preserve">US-CARD-001</t>
  </si>
  <si>
    <t xml:space="preserve">Auto-create card from qualifying SCADA fault event</t>
  </si>
  <si>
    <t xml:space="preserve">E-OPS-02</t>
  </si>
  <si>
    <t xml:space="preserve">Ops Core</t>
  </si>
  <si>
    <t xml:space="preserve">Eng-B2</t>
  </si>
  <si>
    <t xml:space="preserve">US-CARD-002</t>
  </si>
  <si>
    <t xml:space="preserve">Manual card creation by operator</t>
  </si>
  <si>
    <t xml:space="preserve">Eng-B3</t>
  </si>
  <si>
    <t xml:space="preserve">SM-01 formalized</t>
  </si>
  <si>
    <t xml:space="preserve">US-CARD-003</t>
  </si>
  <si>
    <t xml:space="preserve">Bulk card open during storm event</t>
  </si>
  <si>
    <t xml:space="preserve">Feature-flagged</t>
  </si>
  <si>
    <t xml:space="preserve">US-CARD-004</t>
  </si>
  <si>
    <t xml:space="preserve">Card state transitions (Open through Closed)</t>
  </si>
  <si>
    <t xml:space="preserve">Eng-B1</t>
  </si>
  <si>
    <t xml:space="preserve">SM-01</t>
  </si>
  <si>
    <t xml:space="preserve">Complex state machine</t>
  </si>
  <si>
    <t xml:space="preserve">US-CARD-005</t>
  </si>
  <si>
    <t xml:space="preserve">Card assignment to operator</t>
  </si>
  <si>
    <t xml:space="preserve">US-CARD-006</t>
  </si>
  <si>
    <t xml:space="preserve">Add notes and attachments to card</t>
  </si>
  <si>
    <t xml:space="preserve">Should</t>
  </si>
  <si>
    <t xml:space="preserve">Eng-B4</t>
  </si>
  <si>
    <t xml:space="preserve">Cross-cutting attachment service</t>
  </si>
  <si>
    <t xml:space="preserve">US-CARD-007</t>
  </si>
  <si>
    <t xml:space="preserve">Link cards (parent/child relationships)</t>
  </si>
  <si>
    <t xml:space="preserve">US-CARD-008</t>
  </si>
  <si>
    <t xml:space="preserve">Card detail view UI</t>
  </si>
  <si>
    <t xml:space="preserve">Eng-FE1</t>
  </si>
  <si>
    <t xml:space="preserve">US-CARD-009</t>
  </si>
  <si>
    <t xml:space="preserve">Close card with cause code selection</t>
  </si>
  <si>
    <t xml:space="preserve">Refined</t>
  </si>
  <si>
    <t xml:space="preserve">S-06</t>
  </si>
  <si>
    <t xml:space="preserve">Cause code catalog migrated</t>
  </si>
  <si>
    <t xml:space="preserve">US-CARD-010</t>
  </si>
  <si>
    <t xml:space="preserve">Card reopen workflow with reason capture</t>
  </si>
  <si>
    <t xml:space="preserve">US-SWEXEC-001</t>
  </si>
  <si>
    <t xml:space="preserve">Start switching order execution</t>
  </si>
  <si>
    <t xml:space="preserve">E-OPS-04</t>
  </si>
  <si>
    <t xml:space="preserve">Switching Safety</t>
  </si>
  <si>
    <t xml:space="preserve">Eng-C1+Eng-C2</t>
  </si>
  <si>
    <t xml:space="preserve">SM-02, SM-03 finalized</t>
  </si>
  <si>
    <t xml:space="preserve">Pair-program</t>
  </si>
  <si>
    <t xml:space="preserve">US-SWEXEC-002</t>
  </si>
  <si>
    <t xml:space="preserve">Execute step with precondition verification</t>
  </si>
  <si>
    <t xml:space="preserve">Eng-C1+Eng-C3</t>
  </si>
  <si>
    <t xml:space="preserve">BR-SW-042 safety-critical</t>
  </si>
  <si>
    <t xml:space="preserve">US-SWEXEC-003</t>
  </si>
  <si>
    <t xml:space="preserve">Mark step complete with postcondition check</t>
  </si>
  <si>
    <t xml:space="preserve">SCADA telemetry integration</t>
  </si>
  <si>
    <t xml:space="preserve">US-SWEXEC-004</t>
  </si>
  <si>
    <t xml:space="preserve">Pause and resume switching order</t>
  </si>
  <si>
    <t xml:space="preserve">US-SWEXEC-005</t>
  </si>
  <si>
    <t xml:space="preserve">Reverse completed steps (abandonment)</t>
  </si>
  <si>
    <t xml:space="preserve">S-07</t>
  </si>
  <si>
    <t xml:space="preserve">G-003 resolved</t>
  </si>
  <si>
    <t xml:space="preserve">US-SWEXEC-006</t>
  </si>
  <si>
    <t xml:space="preserve">Supervisor override of precondition with reason</t>
  </si>
  <si>
    <t xml:space="preserve">BR-SW-050 override policy</t>
  </si>
  <si>
    <t xml:space="preserve">Pair-program; absolute BRs blocked</t>
  </si>
  <si>
    <t xml:space="preserve">US-SWEXEC-007</t>
  </si>
  <si>
    <t xml:space="preserve">Shift handoff during active switching order</t>
  </si>
  <si>
    <t xml:space="preserve">Backlog</t>
  </si>
  <si>
    <t xml:space="preserve">S-08</t>
  </si>
  <si>
    <t xml:space="preserve">US-SWEXEC-001, FM-10 addressed</t>
  </si>
  <si>
    <t xml:space="preserve">US-CLR-001</t>
  </si>
  <si>
    <t xml:space="preserve">Issue clearance for device(s)</t>
  </si>
  <si>
    <t xml:space="preserve">E-OPS-05</t>
  </si>
  <si>
    <t xml:space="preserve">Eng-C4</t>
  </si>
  <si>
    <t xml:space="preserve">SM-04 finalized</t>
  </si>
  <si>
    <t xml:space="preserve">US-CLR-002</t>
  </si>
  <si>
    <t xml:space="preserve">Release clearance with crew acknowledgment</t>
  </si>
  <si>
    <t xml:space="preserve">US-CLR-003</t>
  </si>
  <si>
    <t xml:space="preserve">Check clearance scope overlap invariant</t>
  </si>
  <si>
    <t xml:space="preserve">Eng-C4+Eng-C2</t>
  </si>
  <si>
    <t xml:space="preserve">No-overlap invariant from SM-04</t>
  </si>
  <si>
    <t xml:space="preserve">Safety-critical invariant</t>
  </si>
  <si>
    <t xml:space="preserve">US-CLR-004</t>
  </si>
  <si>
    <t xml:space="preserve">Clearance audit retrieval view</t>
  </si>
  <si>
    <t xml:space="preserve">US-CLR-001, audit service</t>
  </si>
  <si>
    <t xml:space="preserve">US-FWS-001</t>
  </si>
  <si>
    <t xml:space="preserve">Dispatch work order via outbox pattern</t>
  </si>
  <si>
    <t xml:space="preserve">E-INT-02</t>
  </si>
  <si>
    <t xml:space="preserve">INT-02 signed, ADR-006</t>
  </si>
  <si>
    <t xml:space="preserve">US-FWS-002</t>
  </si>
  <si>
    <t xml:space="preserve">Idempotent retry with exponential backoff</t>
  </si>
  <si>
    <t xml:space="preserve">US-FWS-003</t>
  </si>
  <si>
    <t xml:space="preserve">Receive field status updates</t>
  </si>
  <si>
    <t xml:space="preserve">INT-02 signed</t>
  </si>
  <si>
    <t xml:space="preserve">US-FWS-004</t>
  </si>
  <si>
    <t xml:space="preserve">Reconciliation job for dispatch drift</t>
  </si>
  <si>
    <t xml:space="preserve">US-AUTH-001</t>
  </si>
  <si>
    <t xml:space="preserve">SAML SSO authentication flow</t>
  </si>
  <si>
    <t xml:space="preserve">E-PLT-01</t>
  </si>
  <si>
    <t xml:space="preserve">Platform &amp; Observability</t>
  </si>
  <si>
    <t xml:space="preserve">Eng-D1</t>
  </si>
  <si>
    <t xml:space="preserve">INT-05 signed</t>
  </si>
  <si>
    <t xml:space="preserve">US-AUTH-002</t>
  </si>
  <si>
    <t xml:space="preserve">RBAC role assignment and enforcement</t>
  </si>
  <si>
    <t xml:space="preserve">Role catalog</t>
  </si>
  <si>
    <t xml:space="preserve">US-AUTH-003</t>
  </si>
  <si>
    <t xml:space="preserve">District-scope attribute enforcement</t>
  </si>
  <si>
    <t xml:space="preserve">ADR-010</t>
  </si>
  <si>
    <t xml:space="preserve">US-AUTH-004</t>
  </si>
  <si>
    <t xml:space="preserve">Supervisor override authorization with step-up MFA</t>
  </si>
  <si>
    <t xml:space="preserve">US-AUTH-002, US-AUTH-003</t>
  </si>
  <si>
    <t xml:space="preserve">US-AUDIT-001</t>
  </si>
  <si>
    <t xml:space="preserve">Event-sourced audit log append API</t>
  </si>
  <si>
    <t xml:space="preserve">E-PLT-02</t>
  </si>
  <si>
    <t xml:space="preserve">Eng-D2</t>
  </si>
  <si>
    <t xml:space="preserve">ADR-007</t>
  </si>
  <si>
    <t xml:space="preserve">US-AUDIT-002</t>
  </si>
  <si>
    <t xml:space="preserve">Audit event schema and versioning</t>
  </si>
  <si>
    <t xml:space="preserve">US-AUDIT-003</t>
  </si>
  <si>
    <t xml:space="preserve">Audit retrieval API with time/actor/target query</t>
  </si>
  <si>
    <t xml:space="preserve">US-AUDIT-004</t>
  </si>
  <si>
    <t xml:space="preserve">Immutability controls on audit store</t>
  </si>
  <si>
    <t xml:space="preserve">DB hardening</t>
  </si>
  <si>
    <t xml:space="preserve">SUMMARY</t>
  </si>
  <si>
    <t xml:space="preserve">Total stories:</t>
  </si>
  <si>
    <t xml:space="preserve">Safety-critical:</t>
  </si>
  <si>
    <t xml:space="preserve">Total points:</t>
  </si>
  <si>
    <t xml:space="preserve">Done:</t>
  </si>
  <si>
    <t xml:space="preserve">In Test:</t>
  </si>
  <si>
    <t xml:space="preserve">In Sprint:</t>
  </si>
  <si>
    <t xml:space="preserve">Ready:</t>
  </si>
  <si>
    <t xml:space="preserve">Done points:</t>
  </si>
  <si>
    <t xml:space="preserve">% Done (by points):</t>
  </si>
  <si>
    <t xml:space="preserve">Blocked:</t>
  </si>
  <si>
    <t xml:space="preserve">Sprint Backlog — active + next two sprints</t>
  </si>
  <si>
    <t xml:space="preserve">Focused view of current execution. Full backlog lives in tab 1.</t>
  </si>
  <si>
    <t xml:space="preserve">Status progresses: To Do → In Progress → In Review → In Test → Done. Daily standup updates these.</t>
  </si>
  <si>
    <t xml:space="preserve">Task Status</t>
  </si>
  <si>
    <t xml:space="preserve">Hrs Remaining</t>
  </si>
  <si>
    <t xml:space="preserve">Blockers</t>
  </si>
  <si>
    <t xml:space="preserve">Handle orphan events</t>
  </si>
  <si>
    <t xml:space="preserve">In Progress</t>
  </si>
  <si>
    <t xml:space="preserve">In Review</t>
  </si>
  <si>
    <t xml:space="preserve">PR #284</t>
  </si>
  <si>
    <t xml:space="preserve">Attachment service API</t>
  </si>
  <si>
    <t xml:space="preserve">Pair-programmed</t>
  </si>
  <si>
    <t xml:space="preserve">Supervisor override with step-up MFA</t>
  </si>
  <si>
    <t xml:space="preserve">Product Council demo scheduled</t>
  </si>
  <si>
    <t xml:space="preserve">US-OBS-003</t>
  </si>
  <si>
    <t xml:space="preserve">SCADA consumer lag dashboard</t>
  </si>
  <si>
    <t xml:space="preserve">Eng-D3</t>
  </si>
  <si>
    <t xml:space="preserve">PR #290</t>
  </si>
  <si>
    <t xml:space="preserve">US-CARD-011</t>
  </si>
  <si>
    <t xml:space="preserve">Card priority escalation rule</t>
  </si>
  <si>
    <t xml:space="preserve">TS-01</t>
  </si>
  <si>
    <t xml:space="preserve">Reduce flaky SCADA integration test</t>
  </si>
  <si>
    <t xml:space="preserve">Tech debt pay-down</t>
  </si>
  <si>
    <t xml:space="preserve">SCADA reconciliation job</t>
  </si>
  <si>
    <t xml:space="preserve">To Do</t>
  </si>
  <si>
    <t xml:space="preserve">SP-11 input</t>
  </si>
  <si>
    <t xml:space="preserve">Link cards parent/child</t>
  </si>
  <si>
    <t xml:space="preserve">Card detail view</t>
  </si>
  <si>
    <t xml:space="preserve">Execute step with precondition</t>
  </si>
  <si>
    <t xml:space="preserve">Pair-programmed; BR-SW-042</t>
  </si>
  <si>
    <t xml:space="preserve">Mark step complete with postcondition</t>
  </si>
  <si>
    <t xml:space="preserve">Dispatch via outbox pattern</t>
  </si>
  <si>
    <t xml:space="preserve">Close card with cause code</t>
  </si>
  <si>
    <t xml:space="preserve">Refinement needed</t>
  </si>
  <si>
    <t xml:space="preserve">Card reopen workflow</t>
  </si>
  <si>
    <t xml:space="preserve">Issue clearance for device</t>
  </si>
  <si>
    <t xml:space="preserve">Release clearance</t>
  </si>
  <si>
    <t xml:space="preserve">Idempotent retry</t>
  </si>
  <si>
    <t xml:space="preserve">CURRENT SPRINT (S-04)</t>
  </si>
  <si>
    <t xml:space="preserve">Points committed:</t>
  </si>
  <si>
    <t xml:space="preserve">Points done:</t>
  </si>
  <si>
    <t xml:space="preserve">% complete:</t>
  </si>
  <si>
    <t xml:space="preserve">Hrs remaining:</t>
  </si>
  <si>
    <t xml:space="preserve">Sprint Capacity Calculator</t>
  </si>
  <si>
    <t xml:space="preserve">Capacity per sprint factoring team roster, allocation %, PTO, holidays, ceremonies.</t>
  </si>
  <si>
    <t xml:space="preserve">Update allocation per sprint. Points capacity = (available hours / focus factor) — focus factor calibrated from velocity data.</t>
  </si>
  <si>
    <t xml:space="preserve">Person / Role</t>
  </si>
  <si>
    <t xml:space="preserve">Hrs/Day</t>
  </si>
  <si>
    <t xml:space="preserve">Allocation %</t>
  </si>
  <si>
    <t xml:space="preserve">Sprint Days</t>
  </si>
  <si>
    <t xml:space="preserve">PTO Days</t>
  </si>
  <si>
    <t xml:space="preserve">Ceremony Hrs</t>
  </si>
  <si>
    <t xml:space="preserve">Avail Hrs</t>
  </si>
  <si>
    <t xml:space="preserve">Hrs/Point (calibrated)</t>
  </si>
  <si>
    <t xml:space="preserve">Pts Capacity</t>
  </si>
  <si>
    <t xml:space="preserve">Chief Architect</t>
  </si>
  <si>
    <t xml:space="preserve">Cross-squad</t>
  </si>
  <si>
    <t xml:space="preserve">Design oversight</t>
  </si>
  <si>
    <t xml:space="preserve">Sr Eng Deputy</t>
  </si>
  <si>
    <t xml:space="preserve">Mentoring + reviews</t>
  </si>
  <si>
    <t xml:space="preserve">Sr Eng A (Int&amp;Data lead)</t>
  </si>
  <si>
    <t xml:space="preserve">Sr Eng B (Ops Core lead)</t>
  </si>
  <si>
    <t xml:space="preserve">Sr Eng C (Switching lead)</t>
  </si>
  <si>
    <t xml:space="preserve">Safety-critical focus</t>
  </si>
  <si>
    <t xml:space="preserve">Sr Eng D (Platform lead)</t>
  </si>
  <si>
    <t xml:space="preserve">Mid Eng 1</t>
  </si>
  <si>
    <t xml:space="preserve">Mid Eng 2</t>
  </si>
  <si>
    <t xml:space="preserve">Mid Eng 3</t>
  </si>
  <si>
    <t xml:space="preserve">Mid Eng 4</t>
  </si>
  <si>
    <t xml:space="preserve">PTO S-04</t>
  </si>
  <si>
    <t xml:space="preserve">Mid Eng 5</t>
  </si>
  <si>
    <t xml:space="preserve">Mid Eng 6</t>
  </si>
  <si>
    <t xml:space="preserve">Jr Eng 1</t>
  </si>
  <si>
    <t xml:space="preserve">Ramping</t>
  </si>
  <si>
    <t xml:space="preserve">Jr Eng 2</t>
  </si>
  <si>
    <t xml:space="preserve">Jr Eng 3</t>
  </si>
  <si>
    <t xml:space="preserve">Jr Eng 4</t>
  </si>
  <si>
    <t xml:space="preserve">FE Tech Lead</t>
  </si>
  <si>
    <t xml:space="preserve">FE Dev 1</t>
  </si>
  <si>
    <t xml:space="preserve">FE Dev 2</t>
  </si>
  <si>
    <t xml:space="preserve">FE Dev 3</t>
  </si>
  <si>
    <t xml:space="preserve">QA Auto 1</t>
  </si>
  <si>
    <t xml:space="preserve">Ops Core + Switching</t>
  </si>
  <si>
    <t xml:space="preserve">QA Auto 2</t>
  </si>
  <si>
    <t xml:space="preserve">Integration + Platform</t>
  </si>
  <si>
    <t xml:space="preserve">Integration Eng 1</t>
  </si>
  <si>
    <t xml:space="preserve">Integration Eng 2</t>
  </si>
  <si>
    <t xml:space="preserve">DBA</t>
  </si>
  <si>
    <t xml:space="preserve">DevOps 1</t>
  </si>
  <si>
    <t xml:space="preserve">DevOps 2</t>
  </si>
  <si>
    <t xml:space="preserve">Sec Eng</t>
  </si>
  <si>
    <t xml:space="preserve">BA 1</t>
  </si>
  <si>
    <t xml:space="preserve">BA 2</t>
  </si>
  <si>
    <t xml:space="preserve">SQUAD CAPACITY</t>
  </si>
  <si>
    <t xml:space="preserve">TOTAL TEAM</t>
  </si>
  <si>
    <t xml:space="preserve">Velocity Tracker</t>
  </si>
  <si>
    <t xml:space="preserve">Sprint-by-sprint velocity history. Use 3-sprint rolling average for commitment forecasts.</t>
  </si>
  <si>
    <t xml:space="preserve">Committed vs. Completed gap indicates estimation accuracy; widening gap is a signal to investigate.</t>
  </si>
  <si>
    <t xml:space="preserve">Start Date</t>
  </si>
  <si>
    <t xml:space="preserve">End Date</t>
  </si>
  <si>
    <t xml:space="preserve">Committed Pts</t>
  </si>
  <si>
    <t xml:space="preserve">Completed Pts</t>
  </si>
  <si>
    <t xml:space="preserve">Delta</t>
  </si>
  <si>
    <t xml:space="preserve">Completed Stories</t>
  </si>
  <si>
    <t xml:space="preserve">Carry-over Stories</t>
  </si>
  <si>
    <t xml:space="preserve">Defects Escaped</t>
  </si>
  <si>
    <t xml:space="preserve">S-00</t>
  </si>
  <si>
    <t xml:space="preserve">2026-07-06</t>
  </si>
  <si>
    <t xml:space="preserve">2026-07-17</t>
  </si>
  <si>
    <t xml:space="preserve">Sprint zero — squad formation, tooling, environment</t>
  </si>
  <si>
    <t xml:space="preserve">2026-07-20</t>
  </si>
  <si>
    <t xml:space="preserve">2026-07-31</t>
  </si>
  <si>
    <t xml:space="preserve">First delivery sprint</t>
  </si>
  <si>
    <t xml:space="preserve">2026-08-03</t>
  </si>
  <si>
    <t xml:space="preserve">2026-08-14</t>
  </si>
  <si>
    <t xml:space="preserve">Findings: 1 defect on US-AUTH-002</t>
  </si>
  <si>
    <t xml:space="preserve">2026-08-17</t>
  </si>
  <si>
    <t xml:space="preserve">2026-08-28</t>
  </si>
  <si>
    <t xml:space="preserve">2026-08-31</t>
  </si>
  <si>
    <t xml:space="preserve">2026-09-11</t>
  </si>
  <si>
    <t xml:space="preserve">Current — in flight</t>
  </si>
  <si>
    <t xml:space="preserve">2026-09-14</t>
  </si>
  <si>
    <t xml:space="preserve">2026-09-25</t>
  </si>
  <si>
    <t xml:space="preserve">Planned</t>
  </si>
  <si>
    <t xml:space="preserve">2026-09-28</t>
  </si>
  <si>
    <t xml:space="preserve">2026-10-09</t>
  </si>
  <si>
    <t xml:space="preserve">2026-10-12</t>
  </si>
  <si>
    <t xml:space="preserve">2026-10-23</t>
  </si>
  <si>
    <t xml:space="preserve">2026-10-26</t>
  </si>
  <si>
    <t xml:space="preserve">2026-11-06</t>
  </si>
  <si>
    <t xml:space="preserve">S-09</t>
  </si>
  <si>
    <t xml:space="preserve">2026-11-09</t>
  </si>
  <si>
    <t xml:space="preserve">2026-11-20</t>
  </si>
  <si>
    <t xml:space="preserve">S-10</t>
  </si>
  <si>
    <t xml:space="preserve">2026-11-23</t>
  </si>
  <si>
    <t xml:space="preserve">2026-12-04</t>
  </si>
  <si>
    <t xml:space="preserve">Planned — Thanksgiving short</t>
  </si>
  <si>
    <t xml:space="preserve">S-11</t>
  </si>
  <si>
    <t xml:space="preserve">2026-12-07</t>
  </si>
  <si>
    <t xml:space="preserve">2026-12-18</t>
  </si>
  <si>
    <t xml:space="preserve">METRICS</t>
  </si>
  <si>
    <t xml:space="preserve">Completed sprints avg velocity:</t>
  </si>
  <si>
    <t xml:space="preserve">3-sprint rolling avg:</t>
  </si>
  <si>
    <t xml:space="preserve">Avg estimation accuracy (completed/committed):</t>
  </si>
  <si>
    <t xml:space="preserve">Total defects escaped to date:</t>
  </si>
  <si>
    <t xml:space="preserve">Avg defects per sprint (completed):</t>
  </si>
  <si>
    <t xml:space="preserve">Sprint Retrospectives</t>
  </si>
  <si>
    <t xml:space="preserve">Keep / Stop / Start items from each sprint retro. Actions carried forward until addressed.</t>
  </si>
  <si>
    <t xml:space="preserve">Theme column helps identify systemic patterns — a theme appearing 3+ sprints signals a structural issue.</t>
  </si>
  <si>
    <t xml:space="preserve">Date</t>
  </si>
  <si>
    <t xml:space="preserve">Type</t>
  </si>
  <si>
    <t xml:space="preserve">Item</t>
  </si>
  <si>
    <t xml:space="preserve">Theme</t>
  </si>
  <si>
    <t xml:space="preserve">Action Owner</t>
  </si>
  <si>
    <t xml:space="preserve">Keep</t>
  </si>
  <si>
    <t xml:space="preserve">Squad-of-4 pair programming for switching safety stories</t>
  </si>
  <si>
    <t xml:space="preserve">Safety discipline</t>
  </si>
  <si>
    <t xml:space="preserve">Sr Eng C</t>
  </si>
  <si>
    <t xml:space="preserve">Ongoing</t>
  </si>
  <si>
    <t xml:space="preserve">Daily 10-min 'architecture sync' for Sr Engs only</t>
  </si>
  <si>
    <t xml:space="preserve">Coordination</t>
  </si>
  <si>
    <t xml:space="preserve">Stop</t>
  </si>
  <si>
    <t xml:space="preserve">Merging PRs without test run on target branch</t>
  </si>
  <si>
    <t xml:space="preserve">Quality</t>
  </si>
  <si>
    <t xml:space="preserve">All Sr Engs</t>
  </si>
  <si>
    <t xml:space="preserve">Closed</t>
  </si>
  <si>
    <t xml:space="preserve">CI gate added</t>
  </si>
  <si>
    <t xml:space="preserve">Start</t>
  </si>
  <si>
    <t xml:space="preserve">Documenting AC-to-test mapping in story comments</t>
  </si>
  <si>
    <t xml:space="preserve">Traceability</t>
  </si>
  <si>
    <t xml:space="preserve">Pair programming for safety-critical continues</t>
  </si>
  <si>
    <t xml:space="preserve">Story estimation in squad meetings — move to planning poker async</t>
  </si>
  <si>
    <t xml:space="preserve">Estimation</t>
  </si>
  <si>
    <t xml:space="preserve">Switched to async poker</t>
  </si>
  <si>
    <t xml:space="preserve">Weekly BR-code walkthrough for US-AUTH-002 defect root cause</t>
  </si>
  <si>
    <t xml:space="preserve">Learning</t>
  </si>
  <si>
    <t xml:space="preserve">Addressed</t>
  </si>
  <si>
    <t xml:space="preserve">15-min 'intended design' review before coding safety stories</t>
  </si>
  <si>
    <t xml:space="preserve">Jr Eng picking up safety-critical stories solo</t>
  </si>
  <si>
    <t xml:space="preserve">Safety = pair programmed always</t>
  </si>
  <si>
    <t xml:space="preserve">Integration test fixtures shared across squads</t>
  </si>
  <si>
    <t xml:space="preserve">Test efficiency</t>
  </si>
  <si>
    <t xml:space="preserve">Friday afternoon DAB updates to architect-on-call</t>
  </si>
  <si>
    <t xml:space="preserve">Architecture discipline</t>
  </si>
  <si>
    <t xml:space="preserve">Tech debt log walkthrough every retro (new practice)</t>
  </si>
  <si>
    <t xml:space="preserve">Tech debt management</t>
  </si>
  <si>
    <t xml:space="preserve">Prevents debt invisibility</t>
  </si>
  <si>
    <t xml:space="preserve">Accepting stories without AC-to-test mapping</t>
  </si>
  <si>
    <t xml:space="preserve">POs</t>
  </si>
  <si>
    <t xml:space="preserve">Now in DoR</t>
  </si>
  <si>
    <t xml:space="preserve">Impediment Log</t>
  </si>
  <si>
    <t xml:space="preserve">Anything blocking progress. Escalation path: Sr Eng → PM → Steering (48hr internal / 24hr external cap).</t>
  </si>
  <si>
    <t xml:space="preserve">Impediments open &gt;5 business days trigger automatic PM escalation.</t>
  </si>
  <si>
    <t xml:space="preserve">ID</t>
  </si>
  <si>
    <t xml:space="preserve">Raised Date</t>
  </si>
  <si>
    <t xml:space="preserve">Description</t>
  </si>
  <si>
    <t xml:space="preserve">Category</t>
  </si>
  <si>
    <t xml:space="preserve">Severity</t>
  </si>
  <si>
    <t xml:space="preserve">Affected Story/Stories</t>
  </si>
  <si>
    <t xml:space="preserve">Owner</t>
  </si>
  <si>
    <t xml:space="preserve">Resolved Date</t>
  </si>
  <si>
    <t xml:space="preserve">I-01</t>
  </si>
  <si>
    <t xml:space="preserve">2026-07-22</t>
  </si>
  <si>
    <t xml:space="preserve">SCADA test environment credentials not rotated; team blocked on US-SCADA-001</t>
  </si>
  <si>
    <t xml:space="preserve">External</t>
  </si>
  <si>
    <t xml:space="preserve">High</t>
  </si>
  <si>
    <t xml:space="preserve">2026-07-23</t>
  </si>
  <si>
    <t xml:space="preserve">Resolved &lt;24hr; good</t>
  </si>
  <si>
    <t xml:space="preserve">I-02</t>
  </si>
  <si>
    <t xml:space="preserve">2026-07-30</t>
  </si>
  <si>
    <t xml:space="preserve">Field Work vendor API doc ambiguity on idempotency — blocks US-FWS design</t>
  </si>
  <si>
    <t xml:space="preserve">Medium</t>
  </si>
  <si>
    <t xml:space="preserve">US-FWS-001, US-FWS-002</t>
  </si>
  <si>
    <t xml:space="preserve">Integration Architect</t>
  </si>
  <si>
    <t xml:space="preserve">2026-08-08</t>
  </si>
  <si>
    <t xml:space="preserve">Vendor clarification + amended INT-02</t>
  </si>
  <si>
    <t xml:space="preserve">I-03</t>
  </si>
  <si>
    <t xml:space="preserve">2026-08-05</t>
  </si>
  <si>
    <t xml:space="preserve">Flyway migration rollback approach unclear for complex migration MIG-06</t>
  </si>
  <si>
    <t xml:space="preserve">Internal</t>
  </si>
  <si>
    <t xml:space="preserve">E-PLT-05 dependent</t>
  </si>
  <si>
    <t xml:space="preserve">Data Arch</t>
  </si>
  <si>
    <t xml:space="preserve">2026-08-12</t>
  </si>
  <si>
    <t xml:space="preserve">Pattern established</t>
  </si>
  <si>
    <t xml:space="preserve">I-04</t>
  </si>
  <si>
    <t xml:space="preserve">2026-08-18</t>
  </si>
  <si>
    <t xml:space="preserve">Integration test env DB performance insufficient for US-SCADA-004 validation</t>
  </si>
  <si>
    <t xml:space="preserve">2026-08-22</t>
  </si>
  <si>
    <t xml:space="preserve">Env rebuilt with SSD</t>
  </si>
  <si>
    <t xml:space="preserve">I-05</t>
  </si>
  <si>
    <t xml:space="preserve">2026-08-26</t>
  </si>
  <si>
    <t xml:space="preserve">GIS vendor unreachable — topology sync validation delayed</t>
  </si>
  <si>
    <t xml:space="preserve">US-GIS-001</t>
  </si>
  <si>
    <t xml:space="preserve">Open</t>
  </si>
  <si>
    <t xml:space="preserve">Escalated to program manager</t>
  </si>
  <si>
    <t xml:space="preserve">I-06</t>
  </si>
  <si>
    <t xml:space="preserve">2026-09-02</t>
  </si>
  <si>
    <t xml:space="preserve">Security Architect bandwidth constraint — review queue building</t>
  </si>
  <si>
    <t xml:space="preserve">Multiple</t>
  </si>
  <si>
    <t xml:space="preserve">Program Manager</t>
  </si>
  <si>
    <t xml:space="preserve">Considering secondary reviewer</t>
  </si>
  <si>
    <t xml:space="preserve">I-07</t>
  </si>
  <si>
    <t xml:space="preserve">2026-09-04</t>
  </si>
  <si>
    <t xml:space="preserve">Field Work System test environment differs from prod in auth flow</t>
  </si>
  <si>
    <t xml:space="preserve">Low</t>
  </si>
  <si>
    <t xml:space="preserve">Vendor agreed to align; ETA 2 weeks</t>
  </si>
  <si>
    <t xml:space="preserve">I-08</t>
  </si>
  <si>
    <t xml:space="preserve">2026-09-05</t>
  </si>
  <si>
    <t xml:space="preserve">PM capacity split with cutover planning starting early</t>
  </si>
  <si>
    <t xml:space="preserve">None specific</t>
  </si>
  <si>
    <t xml:space="preserve">Preparing deputy PM</t>
  </si>
  <si>
    <t xml:space="preserve">I-09</t>
  </si>
  <si>
    <t xml:space="preserve">2026-09-08</t>
  </si>
  <si>
    <t xml:space="preserve">Kafka consumer lag monitoring noise — false alert fatigue</t>
  </si>
  <si>
    <t xml:space="preserve">Observability</t>
  </si>
  <si>
    <t xml:space="preserve">I-10</t>
  </si>
  <si>
    <t xml:space="preserve">2026-09-09</t>
  </si>
  <si>
    <t xml:space="preserve">Product Council operator unavailable for US-SWEXEC-001 demo</t>
  </si>
  <si>
    <t xml:space="preserve">Product Owner</t>
  </si>
  <si>
    <t xml:space="preserve">Reschedule next week</t>
  </si>
  <si>
    <t xml:space="preserve">Feature Flag Register</t>
  </si>
  <si>
    <t xml:space="preserve">Every runtime flag with purpose, owner, and removal criteria. Flags exist for: cutover coordination, incremental rollout, risky changes, kill switches.</t>
  </si>
  <si>
    <t xml:space="preserve">Flags with no removal criteria = permanent flags. These need explicit justification.</t>
  </si>
  <si>
    <t xml:space="preserve">Flag ID</t>
  </si>
  <si>
    <t xml:space="preserve">Flag Name</t>
  </si>
  <si>
    <t xml:space="preserve">Default</t>
  </si>
  <si>
    <t xml:space="preserve">Created</t>
  </si>
  <si>
    <t xml:space="preserve">Removal Criteria / Sunset Date</t>
  </si>
  <si>
    <t xml:space="preserve">F-01</t>
  </si>
  <si>
    <t xml:space="preserve">card.auto-create-enabled</t>
  </si>
  <si>
    <t xml:space="preserve">Enable auto-card creation from SCADA events per district</t>
  </si>
  <si>
    <t xml:space="preserve">Cutover</t>
  </si>
  <si>
    <t xml:space="preserve">false</t>
  </si>
  <si>
    <t xml:space="preserve">Ops PO</t>
  </si>
  <si>
    <t xml:space="preserve">2026-07-29</t>
  </si>
  <si>
    <t xml:space="preserve">Remove after full cutover (all districts)</t>
  </si>
  <si>
    <t xml:space="preserve">Active</t>
  </si>
  <si>
    <t xml:space="preserve">Per-district value</t>
  </si>
  <si>
    <t xml:space="preserve">F-02</t>
  </si>
  <si>
    <t xml:space="preserve">card.bulk-open-enabled</t>
  </si>
  <si>
    <t xml:space="preserve">Enable bulk card opening during storm declaration</t>
  </si>
  <si>
    <t xml:space="preserve">Remove after full cutover</t>
  </si>
  <si>
    <t xml:space="preserve">F-03</t>
  </si>
  <si>
    <t xml:space="preserve">swexec.execute-enabled</t>
  </si>
  <si>
    <t xml:space="preserve">Safety gate on switching order execution</t>
  </si>
  <si>
    <t xml:space="preserve">Safety kill-switch</t>
  </si>
  <si>
    <t xml:space="preserve">2026-09-03</t>
  </si>
  <si>
    <t xml:space="preserve">Permanent — never remove</t>
  </si>
  <si>
    <t xml:space="preserve">Permanent</t>
  </si>
  <si>
    <t xml:space="preserve">Emergency kill</t>
  </si>
  <si>
    <t xml:space="preserve">F-04</t>
  </si>
  <si>
    <t xml:space="preserve">clearance.issue-enabled</t>
  </si>
  <si>
    <t xml:space="preserve">Safety gate on clearance issuance</t>
  </si>
  <si>
    <t xml:space="preserve">F-05</t>
  </si>
  <si>
    <t xml:space="preserve">fws.dispatch-enabled</t>
  </si>
  <si>
    <t xml:space="preserve">Enable field work dispatch integration per district</t>
  </si>
  <si>
    <t xml:space="preserve">Integration Lead</t>
  </si>
  <si>
    <t xml:space="preserve">F-06</t>
  </si>
  <si>
    <t xml:space="preserve">scada.reconciliation-enabled</t>
  </si>
  <si>
    <t xml:space="preserve">Enable daily SCADA reconciliation job</t>
  </si>
  <si>
    <t xml:space="preserve">Enable at pilot cutover</t>
  </si>
  <si>
    <t xml:space="preserve">F-07</t>
  </si>
  <si>
    <t xml:space="preserve">ui.new-dashboard-enabled</t>
  </si>
  <si>
    <t xml:space="preserve">Rollout of new operator dashboard UI</t>
  </si>
  <si>
    <t xml:space="preserve">Rollout</t>
  </si>
  <si>
    <t xml:space="preserve">UX Lead</t>
  </si>
  <si>
    <t xml:space="preserve">Full user migration complete + 2 weeks</t>
  </si>
  <si>
    <t xml:space="preserve">F-08</t>
  </si>
  <si>
    <t xml:space="preserve">audit.archival-enabled</t>
  </si>
  <si>
    <t xml:space="preserve">Enable cold-storage archival of audit events</t>
  </si>
  <si>
    <t xml:space="preserve">After production validation</t>
  </si>
  <si>
    <t xml:space="preserve">F-09</t>
  </si>
  <si>
    <t xml:space="preserve">reporting.replica-isolated</t>
  </si>
  <si>
    <t xml:space="preserve">Use dedicated reporting replica</t>
  </si>
  <si>
    <t xml:space="preserve">After SP-11 validation</t>
  </si>
  <si>
    <t xml:space="preserve">F-10</t>
  </si>
  <si>
    <t xml:space="preserve">storm.degraded-mode-enabled</t>
  </si>
  <si>
    <t xml:space="preserve">Auto-shed UI features during extreme load</t>
  </si>
  <si>
    <t xml:space="preserve">Safety / resilience</t>
  </si>
  <si>
    <t xml:space="preserve">planned</t>
  </si>
  <si>
    <t xml:space="preserve">After full cutover + storm validation</t>
  </si>
  <si>
    <t xml:space="preserve">Enable AFTER validating in UAT</t>
  </si>
  <si>
    <t xml:space="preserve">F-11</t>
  </si>
  <si>
    <t xml:space="preserve">sw.new-state-machine</t>
  </si>
  <si>
    <t xml:space="preserve">New state machine library vs legacy switch-based</t>
  </si>
  <si>
    <t xml:space="preserve">Migration</t>
  </si>
  <si>
    <t xml:space="preserve">After SP-06 + validation</t>
  </si>
  <si>
    <t xml:space="preserve">ADR-017 rollout</t>
  </si>
  <si>
    <t xml:space="preserve">F-12</t>
  </si>
  <si>
    <t xml:space="preserve">observability.fine-grained-tracing</t>
  </si>
  <si>
    <t xml:space="preserve">Enable fine-grained tracing (performance cost)</t>
  </si>
  <si>
    <t xml:space="preserve">Diagnostic</t>
  </si>
  <si>
    <t xml:space="preserve">2026-08-20</t>
  </si>
  <si>
    <t xml:space="preserve">Permanent — runtime toggle for incidents</t>
  </si>
  <si>
    <t xml:space="preserve">Diagnostic tool</t>
  </si>
  <si>
    <t xml:space="preserve">F-13</t>
  </si>
  <si>
    <t xml:space="preserve">api.v2-enabled</t>
  </si>
  <si>
    <t xml:space="preserve">v2 API available (breaking changes from v1)</t>
  </si>
  <si>
    <t xml:space="preserve">After all consumers migrated</t>
  </si>
  <si>
    <t xml:space="preserve">F-14</t>
  </si>
  <si>
    <t xml:space="preserve">cutover.legacy-read-only</t>
  </si>
  <si>
    <t xml:space="preserve">Put legacy system in read-only mode</t>
  </si>
  <si>
    <t xml:space="preserve">Per-district: activated at cutover; removed at hypercare exit</t>
  </si>
  <si>
    <t xml:space="preserve">Coordinated with legacy ops</t>
  </si>
  <si>
    <t xml:space="preserve">F-15</t>
  </si>
  <si>
    <t xml:space="preserve">mvp.non-mvp-features-hidden</t>
  </si>
  <si>
    <t xml:space="preserve">Hide non-MVP features from UI until ready</t>
  </si>
  <si>
    <t xml:space="preserve">true</t>
  </si>
  <si>
    <t xml:space="preserve">2026-08-01</t>
  </si>
  <si>
    <t xml:space="preserve">As each non-MVP feature ships</t>
  </si>
  <si>
    <t xml:space="preserve">Tech Debt Register</t>
  </si>
  <si>
    <t xml:space="preserve">Deliberate deferrals tracked and prioritized. Target: debt ratio &lt;= 15% of points/sprint.</t>
  </si>
  <si>
    <t xml:space="preserve">Every debt item links to why it was incurred and paydown plan. Safety-critical debt has 30-day resolution cap.</t>
  </si>
  <si>
    <t xml:space="preserve">Debt ID</t>
  </si>
  <si>
    <t xml:space="preserve">Origin Sprint</t>
  </si>
  <si>
    <t xml:space="preserve">Linked Story</t>
  </si>
  <si>
    <t xml:space="preserve">Effort (pts)</t>
  </si>
  <si>
    <t xml:space="preserve">Target Sprint</t>
  </si>
  <si>
    <t xml:space="preserve">TD-01</t>
  </si>
  <si>
    <t xml:space="preserve">Temp in-memory dedup cache (US-SCADA-002) — move to Redis for HA</t>
  </si>
  <si>
    <t xml:space="preserve">Architecture</t>
  </si>
  <si>
    <t xml:space="preserve">H</t>
  </si>
  <si>
    <t xml:space="preserve">ADR-004 proper implementation</t>
  </si>
  <si>
    <t xml:space="preserve">TD-02</t>
  </si>
  <si>
    <t xml:space="preserve">Shared test fixtures scattered across squad repos</t>
  </si>
  <si>
    <t xml:space="preserve">Testing</t>
  </si>
  <si>
    <t xml:space="preserve">multiple</t>
  </si>
  <si>
    <t xml:space="preserve">M</t>
  </si>
  <si>
    <t xml:space="preserve">Retro action S-03</t>
  </si>
  <si>
    <t xml:space="preserve">TD-02b</t>
  </si>
  <si>
    <t xml:space="preserve">Audit event envelope versioning deferred to v2</t>
  </si>
  <si>
    <t xml:space="preserve">Design</t>
  </si>
  <si>
    <t xml:space="preserve">L</t>
  </si>
  <si>
    <t xml:space="preserve">S-12</t>
  </si>
  <si>
    <t xml:space="preserve">Not limiting now</t>
  </si>
  <si>
    <t xml:space="preserve">TD-03</t>
  </si>
  <si>
    <t xml:space="preserve">Switching step precondition library — hardcoded vs data-driven</t>
  </si>
  <si>
    <t xml:space="preserve">Technical ceiling approaching; SP-09 outcome</t>
  </si>
  <si>
    <t xml:space="preserve">TD-04</t>
  </si>
  <si>
    <t xml:space="preserve">UI component library drift across Ops Core and Switching squads</t>
  </si>
  <si>
    <t xml:space="preserve">UI</t>
  </si>
  <si>
    <t xml:space="preserve">FE tech lead addressing</t>
  </si>
  <si>
    <t xml:space="preserve">TD-05</t>
  </si>
  <si>
    <t xml:space="preserve">Integration test env data refresh manual — should be automated</t>
  </si>
  <si>
    <t xml:space="preserve">Tooling</t>
  </si>
  <si>
    <t xml:space="preserve">N/A</t>
  </si>
  <si>
    <t xml:space="preserve">DevOps queue</t>
  </si>
  <si>
    <t xml:space="preserve">TD-06</t>
  </si>
  <si>
    <t xml:space="preserve">FW System dispatch: first implementation skipped idempotency key in body</t>
  </si>
  <si>
    <t xml:space="preserve">Integration</t>
  </si>
  <si>
    <t xml:space="preserve">Pay down before cutover</t>
  </si>
  <si>
    <t xml:space="preserve">TD-07</t>
  </si>
  <si>
    <t xml:space="preserve">Log levels inconsistent across squads</t>
  </si>
  <si>
    <t xml:space="preserve">Standards doc needed</t>
  </si>
  <si>
    <t xml:space="preserve">TD-08</t>
  </si>
  <si>
    <t xml:space="preserve">Defect US-AUTH-002 root cause: missing test scenario for district cross-scope</t>
  </si>
  <si>
    <t xml:space="preserve">Test coverage</t>
  </si>
  <si>
    <t xml:space="preserve">TD-09</t>
  </si>
  <si>
    <t xml:space="preserve">Kafka consumer offset commit pattern manual — should use auto-commit with care</t>
  </si>
  <si>
    <t xml:space="preserve">TD-10</t>
  </si>
  <si>
    <t xml:space="preserve">DB connection pool sizing not load-tested</t>
  </si>
  <si>
    <t xml:space="preserve">Platform</t>
  </si>
  <si>
    <t xml:space="preserve">Spike planned</t>
  </si>
  <si>
    <t xml:space="preserve">TD-11</t>
  </si>
  <si>
    <t xml:space="preserve">Feature flag evaluation hot path allocates on every call</t>
  </si>
  <si>
    <t xml:space="preserve">Performance</t>
  </si>
  <si>
    <t xml:space="preserve">all flagged stories</t>
  </si>
  <si>
    <t xml:space="preserve">TD-12</t>
  </si>
  <si>
    <t xml:space="preserve">No circuit breaker on CIS integration calls</t>
  </si>
  <si>
    <t xml:space="preserve">Resilience</t>
  </si>
  <si>
    <t xml:space="preserve">US-CIS-001 planned</t>
  </si>
  <si>
    <t xml:space="preserve">Will be issue at storm load</t>
  </si>
  <si>
    <t xml:space="preserve">TD-13</t>
  </si>
  <si>
    <t xml:space="preserve">Migration reconciliation scripts one-off — generalize</t>
  </si>
  <si>
    <t xml:space="preserve">E-PLT-05</t>
  </si>
  <si>
    <t xml:space="preserve">TD-14</t>
  </si>
  <si>
    <t xml:space="preserve">Safety-critical: grounding rule check bypass code path possible via race condition</t>
  </si>
  <si>
    <t xml:space="preserve">SAFETY</t>
  </si>
  <si>
    <t xml:space="preserve">CRITICAL</t>
  </si>
  <si>
    <t xml:space="preserve">30-day cap — must resolve</t>
  </si>
  <si>
    <t xml:space="preserve">TD-15</t>
  </si>
  <si>
    <t xml:space="preserve">Retrospective action tracking manual</t>
  </si>
  <si>
    <t xml:space="preserve">Process</t>
  </si>
  <si>
    <t xml:space="preserve">Non-urgent</t>
  </si>
  <si>
    <t xml:space="preserve">Total debt items:</t>
  </si>
  <si>
    <t xml:space="preserve">CRITICAL open:</t>
  </si>
  <si>
    <t xml:space="preserve">High open:</t>
  </si>
  <si>
    <t xml:space="preserve">Total open points:</t>
  </si>
  <si>
    <t xml:space="preserve">Safety debt items:</t>
  </si>
  <si>
    <t xml:space="preserve">Code Review Findings — Systemic Patterns</t>
  </si>
  <si>
    <t xml:space="preserve">Not individual code review comments (those stay in PR). This tab captures SYSTEMIC patterns spotted across reviews that need team-level attention.</t>
  </si>
  <si>
    <t xml:space="preserve">Findings drive retro actions, documentation updates, training, or automated lint rules.</t>
  </si>
  <si>
    <t xml:space="preserve">Finding ID</t>
  </si>
  <si>
    <t xml:space="preserve">Pattern</t>
  </si>
  <si>
    <t xml:space="preserve">Occurrences (approx)</t>
  </si>
  <si>
    <t xml:space="preserve">First Seen Sprint</t>
  </si>
  <si>
    <t xml:space="preserve">Remediation Plan</t>
  </si>
  <si>
    <t xml:space="preserve">CR-01</t>
  </si>
  <si>
    <t xml:space="preserve">Using Optional.get() without isPresent() check</t>
  </si>
  <si>
    <t xml:space="preserve">Added Checkstyle rule; squad-level training in S-03</t>
  </si>
  <si>
    <t xml:space="preserve">CR-02</t>
  </si>
  <si>
    <t xml:space="preserve">Audit events missing correlation ID when emitted from async contexts</t>
  </si>
  <si>
    <t xml:space="preserve">Safety</t>
  </si>
  <si>
    <t xml:space="preserve">Audit library refactor; correlation context propagation (US-AUDIT-005)</t>
  </si>
  <si>
    <t xml:space="preserve">CR-03</t>
  </si>
  <si>
    <t xml:space="preserve">Safety-critical precondition checks in conditionals rather than explicit</t>
  </si>
  <si>
    <t xml:space="preserve">Established precondition evaluator pattern; refactoring sweep</t>
  </si>
  <si>
    <t xml:space="preserve">CR-04</t>
  </si>
  <si>
    <t xml:space="preserve">Kafka consumer error handling swallows exceptions silently</t>
  </si>
  <si>
    <t xml:space="preserve">Sr Eng A</t>
  </si>
  <si>
    <t xml:space="preserve">Standard error handler; topic-specific DLQ</t>
  </si>
  <si>
    <t xml:space="preserve">CR-05</t>
  </si>
  <si>
    <t xml:space="preserve">SQL constructed via string concatenation in a few places</t>
  </si>
  <si>
    <t xml:space="preserve">Security</t>
  </si>
  <si>
    <t xml:space="preserve">Linted; found-and-fixed; added to pre-commit</t>
  </si>
  <si>
    <t xml:space="preserve">CR-06</t>
  </si>
  <si>
    <t xml:space="preserve">UI components not handling loading/error/empty states consistently</t>
  </si>
  <si>
    <t xml:space="preserve">Component library templates; Storybook checks</t>
  </si>
  <si>
    <t xml:space="preserve">CR-07</t>
  </si>
  <si>
    <t xml:space="preserve">Integration retries missing jitter (thundering herd risk)</t>
  </si>
  <si>
    <t xml:space="preserve">Standard retry utility; refactor sweep</t>
  </si>
  <si>
    <t xml:space="preserve">CR-08</t>
  </si>
  <si>
    <t xml:space="preserve">Tests using production-like data volume slow CI</t>
  </si>
  <si>
    <t xml:space="preserve">Test data minimization; fixture sharing</t>
  </si>
  <si>
    <t xml:space="preserve">CR-09</t>
  </si>
  <si>
    <t xml:space="preserve">Controller methods doing too much — thin-controller guideline not followed</t>
  </si>
  <si>
    <t xml:space="preserve">Code review checklist emphasis; refactoring examples</t>
  </si>
  <si>
    <t xml:space="preserve">CR-10</t>
  </si>
  <si>
    <t xml:space="preserve">Missing district-scope guards on some queries</t>
  </si>
  <si>
    <t xml:space="preserve">Security/Safety</t>
  </si>
  <si>
    <t xml:space="preserve">Sec Eng + Sr Eng Deputy</t>
  </si>
  <si>
    <t xml:space="preserve">Audit via code-scan; standard repository base class</t>
  </si>
  <si>
    <t xml:space="preserve">CR-11</t>
  </si>
  <si>
    <t xml:space="preserve">Logs containing customer identifiers (PII leakage risk)</t>
  </si>
  <si>
    <t xml:space="preserve">Log sanitization library; pre-commit scan</t>
  </si>
  <si>
    <t xml:space="preserve">CR-12</t>
  </si>
  <si>
    <t xml:space="preserve">State machine transitions via enum switch rather than explicit machine</t>
  </si>
  <si>
    <t xml:space="preserve">Legacy pattern</t>
  </si>
  <si>
    <t xml:space="preserve">Migrate to state machine library (linked to ADR-017); refactor plan</t>
  </si>
  <si>
    <t xml:space="preserve">Build Phase Risk Log</t>
  </si>
  <si>
    <t xml:space="preserve">Risks specific to Build phase. Reviewed every 2 sprints by Program Manager + Sr Engs.</t>
  </si>
  <si>
    <t xml:space="preserve">CRITICAL or HIGH open risks &gt;4 weeks trigger steering escalation.</t>
  </si>
  <si>
    <t xml:space="preserve">Risk ID</t>
  </si>
  <si>
    <t xml:space="preserve">Likelihood (1-5)</t>
  </si>
  <si>
    <t xml:space="preserve">Impact (1-5)</t>
  </si>
  <si>
    <t xml:space="preserve">Score</t>
  </si>
  <si>
    <t xml:space="preserve">Mitigation</t>
  </si>
  <si>
    <t xml:space="preserve">BR-01</t>
  </si>
  <si>
    <t xml:space="preserve">Sprint velocity below committed 4+ sprints running</t>
  </si>
  <si>
    <t xml:space="preserve">3-sprint rolling average tracked; commitment capped at rolling avg * 0.9</t>
  </si>
  <si>
    <t xml:space="preserve">BR-02</t>
  </si>
  <si>
    <t xml:space="preserve">Safety-critical defect escapes to test or UAT</t>
  </si>
  <si>
    <t xml:space="preserve">Pair programming; dual code review; Product Council demo before accept; test coverage gates</t>
  </si>
  <si>
    <t xml:space="preserve">BR-03</t>
  </si>
  <si>
    <t xml:space="preserve">Technical debt accumulates faster than paid down</t>
  </si>
  <si>
    <t xml:space="preserve">15% debt ratio cap; retro walks through debt register; paydown sprints if breached</t>
  </si>
  <si>
    <t xml:space="preserve">Monitored</t>
  </si>
  <si>
    <t xml:space="preserve">BR-04</t>
  </si>
  <si>
    <t xml:space="preserve">Integration with Field Work System blocks entire sprint</t>
  </si>
  <si>
    <t xml:space="preserve">Mock/stub for test env; vendor escalation path; alternative batch path designed (TD)</t>
  </si>
  <si>
    <t xml:space="preserve">BR-05</t>
  </si>
  <si>
    <t xml:space="preserve">Key-person dependency on Chief Architect for unblocking</t>
  </si>
  <si>
    <t xml:space="preserve">Sr Eng Deputy takes 50% of routine reviews; DAB decisions batched; ADR library mature</t>
  </si>
  <si>
    <t xml:space="preserve">BR-06</t>
  </si>
  <si>
    <t xml:space="preserve">Mid-engineers ramp slower than planned</t>
  </si>
  <si>
    <t xml:space="preserve">Pairing rotation; dedicated mentoring time in capacity; knowledge-share sessions</t>
  </si>
  <si>
    <t xml:space="preserve">Sr Engs</t>
  </si>
  <si>
    <t xml:space="preserve">BR-07</t>
  </si>
  <si>
    <t xml:space="preserve">Jr engineers taking on too much risk</t>
  </si>
  <si>
    <t xml:space="preserve">Safety-critical stories exclude Jr solo; explicit DoR check for story match to engineer</t>
  </si>
  <si>
    <t xml:space="preserve">BR-08</t>
  </si>
  <si>
    <t xml:space="preserve">Test env instability reduces team throughput</t>
  </si>
  <si>
    <t xml:space="preserve">DevOps dedicated env maintenance allocation; env health dashboard</t>
  </si>
  <si>
    <t xml:space="preserve">BR-09</t>
  </si>
  <si>
    <t xml:space="preserve">Requirement changes arriving mid-sprint (scope creep)</t>
  </si>
  <si>
    <t xml:space="preserve">Change control process; POs gate in-sprint changes; retro signals</t>
  </si>
  <si>
    <t xml:space="preserve">POs + PM</t>
  </si>
  <si>
    <t xml:space="preserve">BR-10</t>
  </si>
  <si>
    <t xml:space="preserve">Product Council availability during peak storm periods</t>
  </si>
  <si>
    <t xml:space="preserve">Scheduled well in advance; backup operator roster per area; async review for non-demos</t>
  </si>
  <si>
    <t xml:space="preserve">BR-11</t>
  </si>
  <si>
    <t xml:space="preserve">Non-MVP feature creeping into MVP</t>
  </si>
  <si>
    <t xml:space="preserve">Quarterly MVP scope review with steering; PO discipline; feature flags to defer</t>
  </si>
  <si>
    <t xml:space="preserve">BR-12</t>
  </si>
  <si>
    <t xml:space="preserve">Data migration dress rehearsals reveal unresolvable issues</t>
  </si>
  <si>
    <t xml:space="preserve">Start rehearsals early in Phase 3; fallback approaches documented for each migration</t>
  </si>
  <si>
    <t xml:space="preserve">Data Migration Lead</t>
  </si>
  <si>
    <t xml:space="preserve">BR-13</t>
  </si>
  <si>
    <t xml:space="preserve">Storm in region during Build — team impact</t>
  </si>
  <si>
    <t xml:space="preserve">Identified backup resources; prioritize finish-current-sprint over starting new</t>
  </si>
  <si>
    <t xml:space="preserve">BR-14</t>
  </si>
  <si>
    <t xml:space="preserve">NERC CIP compliance artifacts lag build</t>
  </si>
  <si>
    <t xml:space="preserve">Compliance Officer sprint-0 engagement; evidence generation automated where possible</t>
  </si>
  <si>
    <t xml:space="preserve">BR-15</t>
  </si>
  <si>
    <t xml:space="preserve">Tool/license change mid-Build forces rework</t>
  </si>
  <si>
    <t xml:space="preserve">Tech debt register includes vendor/license trajectory watchpoints; contingency buffers</t>
  </si>
  <si>
    <t xml:space="preserve">Build Dashboard — KPI Roll-up</t>
  </si>
  <si>
    <t xml:space="preserve">Pulls metrics from other tabs. Refreshed weekly by Program Manager. Reviewed in steering monthly.</t>
  </si>
  <si>
    <t xml:space="preserve">Thresholds: green within target; amber = watchlist; red = action needed.</t>
  </si>
  <si>
    <t xml:space="preserve">Metric</t>
  </si>
  <si>
    <t xml:space="preserve">Value</t>
  </si>
  <si>
    <t xml:space="preserve">Target</t>
  </si>
  <si>
    <t xml:space="preserve">DELIVERY</t>
  </si>
  <si>
    <t xml:space="preserve">Velocity (3-sprint rolling avg)</t>
  </si>
  <si>
    <t xml:space="preserve">60</t>
  </si>
  <si>
    <t xml:space="preserve">Rolling average of completed points</t>
  </si>
  <si>
    <t xml:space="preserve">Estimation accuracy</t>
  </si>
  <si>
    <t xml:space="preserve">&gt;85%</t>
  </si>
  <si>
    <t xml:space="preserve">Completed / committed</t>
  </si>
  <si>
    <t xml:space="preserve">Total story points completed to date</t>
  </si>
  <si>
    <t xml:space="preserve">—</t>
  </si>
  <si>
    <t xml:space="preserve">Cumulative</t>
  </si>
  <si>
    <t xml:space="preserve">% MVP complete (by points)</t>
  </si>
  <si>
    <t xml:space="preserve">Tracking</t>
  </si>
  <si>
    <t xml:space="preserve">QUALITY</t>
  </si>
  <si>
    <t xml:space="preserve">Defects escaped (cumulative)</t>
  </si>
  <si>
    <t xml:space="preserve">&lt;5</t>
  </si>
  <si>
    <t xml:space="preserve">Defects per sprint (avg completed)</t>
  </si>
  <si>
    <t xml:space="preserve">&lt;2</t>
  </si>
  <si>
    <t xml:space="preserve">Code review findings Open (High/CRITICAL)</t>
  </si>
  <si>
    <t xml:space="preserve">&lt;=5</t>
  </si>
  <si>
    <t xml:space="preserve">Systemic patterns</t>
  </si>
  <si>
    <t xml:space="preserve">HEALTH</t>
  </si>
  <si>
    <t xml:space="preserve">Open impediments</t>
  </si>
  <si>
    <t xml:space="preserve">&lt;8</t>
  </si>
  <si>
    <t xml:space="preserve">Active blockers</t>
  </si>
  <si>
    <t xml:space="preserve">Escalated impediments</t>
  </si>
  <si>
    <t xml:space="preserve">0</t>
  </si>
  <si>
    <t xml:space="preserve">Tech debt open points</t>
  </si>
  <si>
    <t xml:space="preserve">&lt;=30</t>
  </si>
  <si>
    <t xml:space="preserve">&lt;=15% of 3-sprint rolling velocity</t>
  </si>
  <si>
    <t xml:space="preserve">Tech debt CRITICAL items open</t>
  </si>
  <si>
    <t xml:space="preserve">30-day cap per CRITICAL</t>
  </si>
  <si>
    <t xml:space="preserve">Safety debt items open</t>
  </si>
  <si>
    <t xml:space="preserve">All must be addressed</t>
  </si>
  <si>
    <t xml:space="preserve">RISK</t>
  </si>
  <si>
    <t xml:space="preserve">Build risks active (score &gt;=15)</t>
  </si>
  <si>
    <t xml:space="preserve">&lt;=2</t>
  </si>
  <si>
    <t xml:space="preserve">Build risks active (score 8-14)</t>
  </si>
  <si>
    <t xml:space="preserve">FEATURE FLAGS</t>
  </si>
  <si>
    <t xml:space="preserve">Active flags</t>
  </si>
  <si>
    <t xml:space="preserve">Permanent flags (justified)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</si>
</sst>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F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D9EAD3"/>
        </patternFill>
      </fill>
    </dxf>
    <dxf>
      <fill>
        <patternFill>
          <bgColor rgb="FFCFE2F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0E0E3"/>
        </patternFill>
      </fill>
    </dxf>
    <dxf>
      <font>
        <name val="Arial"/>
        <charset val="1"/>
        <family val="0"/>
        <b val="1"/>
        <color rgb="FF990000"/>
        <sz val="10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0E3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1</v>
      </c>
      <c r="B3" s="3" t="s">
        <v>2</v>
      </c>
      <c r="C3" s="3"/>
      <c r="D3" s="3"/>
      <c r="E3" s="3"/>
      <c r="F3" s="3"/>
    </row>
    <row r="4" customFormat="false" ht="15" hidden="false" customHeight="false" outlineLevel="0" collapsed="false">
      <c r="A4" s="2"/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3" t="s">
        <v>4</v>
      </c>
      <c r="C5" s="3"/>
      <c r="D5" s="3"/>
      <c r="E5" s="3"/>
      <c r="F5" s="3"/>
    </row>
    <row r="6" customFormat="false" ht="15" hidden="false" customHeight="false" outlineLevel="0" collapsed="false">
      <c r="A6" s="2"/>
      <c r="B6" s="3"/>
      <c r="C6" s="3"/>
      <c r="D6" s="3"/>
      <c r="E6" s="3"/>
      <c r="F6" s="3"/>
    </row>
    <row r="7" customFormat="false" ht="15" hidden="false" customHeight="true" outlineLevel="0" collapsed="false">
      <c r="A7" s="4" t="s">
        <v>5</v>
      </c>
      <c r="B7" s="3" t="s">
        <v>6</v>
      </c>
      <c r="C7" s="3"/>
      <c r="D7" s="3"/>
      <c r="E7" s="3"/>
      <c r="F7" s="3"/>
    </row>
    <row r="8" customFormat="false" ht="15" hidden="false" customHeight="false" outlineLevel="0" collapsed="false">
      <c r="A8" s="2"/>
      <c r="B8" s="3"/>
      <c r="C8" s="3"/>
      <c r="D8" s="3"/>
      <c r="E8" s="3"/>
      <c r="F8" s="3"/>
    </row>
    <row r="9" customFormat="false" ht="23.85" hidden="false" customHeight="true" outlineLevel="0" collapsed="false">
      <c r="A9" s="4" t="s">
        <v>7</v>
      </c>
      <c r="B9" s="3" t="s">
        <v>8</v>
      </c>
      <c r="C9" s="3"/>
      <c r="D9" s="3"/>
      <c r="E9" s="3"/>
      <c r="F9" s="3"/>
    </row>
    <row r="10" customFormat="false" ht="15" hidden="false" customHeight="false" outlineLevel="0" collapsed="false">
      <c r="A10" s="2"/>
      <c r="B10" s="3"/>
      <c r="C10" s="3"/>
      <c r="D10" s="3"/>
      <c r="E10" s="3"/>
      <c r="F10" s="3"/>
    </row>
    <row r="11" customFormat="false" ht="23.85" hidden="false" customHeight="true" outlineLevel="0" collapsed="false">
      <c r="A11" s="4" t="s">
        <v>9</v>
      </c>
      <c r="B11" s="3" t="s">
        <v>10</v>
      </c>
      <c r="C11" s="3"/>
      <c r="D11" s="3"/>
      <c r="E11" s="3"/>
      <c r="F11" s="3"/>
    </row>
    <row r="12" customFormat="false" ht="15" hidden="false" customHeight="true" outlineLevel="0" collapsed="false">
      <c r="A12" s="4" t="s">
        <v>11</v>
      </c>
      <c r="B12" s="3" t="s">
        <v>12</v>
      </c>
      <c r="C12" s="3"/>
      <c r="D12" s="3"/>
      <c r="E12" s="3"/>
      <c r="F12" s="3"/>
    </row>
    <row r="13" customFormat="false" ht="15" hidden="false" customHeight="false" outlineLevel="0" collapsed="false">
      <c r="A13" s="2"/>
      <c r="B13" s="3"/>
      <c r="C13" s="3"/>
      <c r="D13" s="3"/>
      <c r="E13" s="3"/>
      <c r="F13" s="3"/>
    </row>
    <row r="14" customFormat="false" ht="15" hidden="false" customHeight="false" outlineLevel="0" collapsed="false">
      <c r="A14" s="4" t="s">
        <v>13</v>
      </c>
      <c r="B14" s="3"/>
      <c r="C14" s="3"/>
      <c r="D14" s="3"/>
      <c r="E14" s="3"/>
      <c r="F14" s="3"/>
    </row>
    <row r="15" customFormat="false" ht="15" hidden="false" customHeight="true" outlineLevel="0" collapsed="false">
      <c r="A15" s="2" t="s">
        <v>14</v>
      </c>
      <c r="B15" s="3" t="s">
        <v>15</v>
      </c>
      <c r="C15" s="3"/>
      <c r="D15" s="3"/>
      <c r="E15" s="3"/>
      <c r="F15" s="3"/>
    </row>
    <row r="16" customFormat="false" ht="15" hidden="false" customHeight="true" outlineLevel="0" collapsed="false">
      <c r="A16" s="2" t="s">
        <v>16</v>
      </c>
      <c r="B16" s="3" t="s">
        <v>17</v>
      </c>
      <c r="C16" s="3"/>
      <c r="D16" s="3"/>
      <c r="E16" s="3"/>
      <c r="F16" s="3"/>
    </row>
    <row r="17" customFormat="false" ht="15" hidden="false" customHeight="true" outlineLevel="0" collapsed="false">
      <c r="A17" s="2" t="s">
        <v>18</v>
      </c>
      <c r="B17" s="3" t="s">
        <v>19</v>
      </c>
      <c r="C17" s="3"/>
      <c r="D17" s="3"/>
      <c r="E17" s="3"/>
      <c r="F17" s="3"/>
    </row>
    <row r="18" customFormat="false" ht="15" hidden="false" customHeight="true" outlineLevel="0" collapsed="false">
      <c r="A18" s="2" t="s">
        <v>20</v>
      </c>
      <c r="B18" s="3" t="s">
        <v>21</v>
      </c>
      <c r="C18" s="3"/>
      <c r="D18" s="3"/>
      <c r="E18" s="3"/>
      <c r="F18" s="3"/>
    </row>
    <row r="19" customFormat="false" ht="15" hidden="false" customHeight="true" outlineLevel="0" collapsed="false">
      <c r="A19" s="2" t="s">
        <v>22</v>
      </c>
      <c r="B19" s="3" t="s">
        <v>23</v>
      </c>
      <c r="C19" s="3"/>
      <c r="D19" s="3"/>
      <c r="E19" s="3"/>
      <c r="F19" s="3"/>
    </row>
    <row r="20" customFormat="false" ht="15" hidden="false" customHeight="true" outlineLevel="0" collapsed="false">
      <c r="A20" s="2" t="s">
        <v>24</v>
      </c>
      <c r="B20" s="3" t="s">
        <v>25</v>
      </c>
      <c r="C20" s="3"/>
      <c r="D20" s="3"/>
      <c r="E20" s="3"/>
      <c r="F20" s="3"/>
    </row>
    <row r="21" customFormat="false" ht="15" hidden="false" customHeight="true" outlineLevel="0" collapsed="false">
      <c r="A21" s="2" t="s">
        <v>26</v>
      </c>
      <c r="B21" s="3" t="s">
        <v>27</v>
      </c>
      <c r="C21" s="3"/>
      <c r="D21" s="3"/>
      <c r="E21" s="3"/>
      <c r="F21" s="3"/>
    </row>
    <row r="22" customFormat="false" ht="15" hidden="false" customHeight="true" outlineLevel="0" collapsed="false">
      <c r="A22" s="2" t="s">
        <v>28</v>
      </c>
      <c r="B22" s="3" t="s">
        <v>29</v>
      </c>
      <c r="C22" s="3"/>
      <c r="D22" s="3"/>
      <c r="E22" s="3"/>
      <c r="F22" s="3"/>
    </row>
    <row r="23" customFormat="false" ht="15" hidden="false" customHeight="true" outlineLevel="0" collapsed="false">
      <c r="A23" s="2" t="s">
        <v>30</v>
      </c>
      <c r="B23" s="3" t="s">
        <v>31</v>
      </c>
      <c r="C23" s="3"/>
      <c r="D23" s="3"/>
      <c r="E23" s="3"/>
      <c r="F23" s="3"/>
    </row>
    <row r="24" customFormat="false" ht="15" hidden="false" customHeight="true" outlineLevel="0" collapsed="false">
      <c r="A24" s="2" t="s">
        <v>32</v>
      </c>
      <c r="B24" s="3" t="s">
        <v>33</v>
      </c>
      <c r="C24" s="3"/>
      <c r="D24" s="3"/>
      <c r="E24" s="3"/>
      <c r="F24" s="3"/>
    </row>
    <row r="25" customFormat="false" ht="15" hidden="false" customHeight="true" outlineLevel="0" collapsed="false">
      <c r="A25" s="2" t="s">
        <v>34</v>
      </c>
      <c r="B25" s="3" t="s">
        <v>35</v>
      </c>
      <c r="C25" s="3"/>
      <c r="D25" s="3"/>
      <c r="E25" s="3"/>
      <c r="F25" s="3"/>
    </row>
    <row r="26" customFormat="false" ht="15" hidden="false" customHeight="false" outlineLevel="0" collapsed="false">
      <c r="A26" s="2"/>
      <c r="B26" s="3"/>
      <c r="C26" s="3"/>
      <c r="D26" s="3"/>
      <c r="E26" s="3"/>
      <c r="F26" s="3"/>
    </row>
    <row r="27" customFormat="false" ht="15" hidden="false" customHeight="false" outlineLevel="0" collapsed="false">
      <c r="A27" s="4" t="s">
        <v>36</v>
      </c>
      <c r="B27" s="3"/>
      <c r="C27" s="3"/>
      <c r="D27" s="3"/>
      <c r="E27" s="3"/>
      <c r="F27" s="3"/>
    </row>
    <row r="28" customFormat="false" ht="15" hidden="false" customHeight="true" outlineLevel="0" collapsed="false">
      <c r="A28" s="2" t="s">
        <v>37</v>
      </c>
      <c r="B28" s="3" t="s">
        <v>38</v>
      </c>
      <c r="C28" s="3"/>
      <c r="D28" s="3"/>
      <c r="E28" s="3"/>
      <c r="F28" s="3"/>
    </row>
    <row r="29" customFormat="false" ht="23.85" hidden="false" customHeight="true" outlineLevel="0" collapsed="false">
      <c r="A29" s="2" t="s">
        <v>39</v>
      </c>
      <c r="B29" s="3" t="s">
        <v>40</v>
      </c>
      <c r="C29" s="3"/>
      <c r="D29" s="3"/>
      <c r="E29" s="3"/>
      <c r="F29" s="3"/>
    </row>
    <row r="30" customFormat="false" ht="15" hidden="false" customHeight="true" outlineLevel="0" collapsed="false">
      <c r="A30" s="2" t="s">
        <v>41</v>
      </c>
      <c r="B30" s="3" t="s">
        <v>42</v>
      </c>
      <c r="C30" s="3"/>
      <c r="D30" s="3"/>
      <c r="E30" s="3"/>
      <c r="F30" s="3"/>
    </row>
    <row r="31" customFormat="false" ht="15" hidden="false" customHeight="true" outlineLevel="0" collapsed="false">
      <c r="A31" s="2" t="s">
        <v>43</v>
      </c>
      <c r="B31" s="3" t="s">
        <v>44</v>
      </c>
      <c r="C31" s="3"/>
      <c r="D31" s="3"/>
      <c r="E31" s="3"/>
      <c r="F31" s="3"/>
    </row>
    <row r="32" customFormat="false" ht="15" hidden="false" customHeight="true" outlineLevel="0" collapsed="false">
      <c r="A32" s="2" t="s">
        <v>45</v>
      </c>
      <c r="B32" s="3" t="s">
        <v>46</v>
      </c>
      <c r="C32" s="3"/>
      <c r="D32" s="3"/>
      <c r="E32" s="3"/>
      <c r="F32" s="3"/>
    </row>
  </sheetData>
  <mergeCells count="32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22"/>
    <col collapsed="false" customWidth="true" hidden="false" outlineLevel="0" max="14" min="14" style="0" width="24"/>
  </cols>
  <sheetData>
    <row r="1" customFormat="false" ht="24" hidden="false" customHeight="true" outlineLevel="0" collapsed="false">
      <c r="A1" s="5" t="s">
        <v>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5" hidden="false" customHeight="false" outlineLevel="0" collapsed="false">
      <c r="A2" s="6" t="s">
        <v>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false" outlineLevel="0" collapsed="false">
      <c r="A3" s="6" t="s">
        <v>49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customFormat="false" ht="31.5" hidden="false" customHeight="true" outlineLevel="0" collapsed="false">
      <c r="A4" s="7" t="s">
        <v>50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  <c r="I4" s="7" t="s">
        <v>58</v>
      </c>
      <c r="J4" s="7" t="s">
        <v>59</v>
      </c>
      <c r="K4" s="7" t="s">
        <v>60</v>
      </c>
      <c r="L4" s="7" t="s">
        <v>61</v>
      </c>
      <c r="M4" s="7" t="s">
        <v>62</v>
      </c>
      <c r="N4" s="7" t="s">
        <v>63</v>
      </c>
    </row>
    <row r="5" customFormat="false" ht="23.85" hidden="false" customHeight="false" outlineLevel="0" collapsed="false">
      <c r="A5" s="8" t="s">
        <v>64</v>
      </c>
      <c r="B5" s="8" t="s">
        <v>65</v>
      </c>
      <c r="C5" s="8" t="s">
        <v>66</v>
      </c>
      <c r="D5" s="8" t="s">
        <v>67</v>
      </c>
      <c r="E5" s="8" t="s">
        <v>68</v>
      </c>
      <c r="F5" s="8" t="s">
        <v>69</v>
      </c>
      <c r="G5" s="8" t="n">
        <v>8</v>
      </c>
      <c r="H5" s="8" t="s">
        <v>70</v>
      </c>
      <c r="I5" s="8" t="s">
        <v>71</v>
      </c>
      <c r="J5" s="8" t="s">
        <v>72</v>
      </c>
      <c r="K5" s="8" t="s">
        <v>73</v>
      </c>
      <c r="L5" s="8" t="s">
        <v>73</v>
      </c>
      <c r="M5" s="8" t="s">
        <v>74</v>
      </c>
      <c r="N5" s="8"/>
    </row>
    <row r="6" customFormat="false" ht="15" hidden="false" customHeight="false" outlineLevel="0" collapsed="false">
      <c r="A6" s="8" t="s">
        <v>75</v>
      </c>
      <c r="B6" s="8" t="s">
        <v>76</v>
      </c>
      <c r="C6" s="8" t="s">
        <v>66</v>
      </c>
      <c r="D6" s="8" t="s">
        <v>67</v>
      </c>
      <c r="E6" s="8" t="s">
        <v>68</v>
      </c>
      <c r="F6" s="8" t="s">
        <v>69</v>
      </c>
      <c r="G6" s="8" t="n">
        <v>5</v>
      </c>
      <c r="H6" s="8" t="s">
        <v>70</v>
      </c>
      <c r="I6" s="8" t="s">
        <v>77</v>
      </c>
      <c r="J6" s="8" t="s">
        <v>78</v>
      </c>
      <c r="K6" s="8" t="s">
        <v>73</v>
      </c>
      <c r="L6" s="8" t="s">
        <v>73</v>
      </c>
      <c r="M6" s="8" t="s">
        <v>64</v>
      </c>
      <c r="N6" s="8"/>
    </row>
    <row r="7" customFormat="false" ht="15" hidden="false" customHeight="false" outlineLevel="0" collapsed="false">
      <c r="A7" s="8" t="s">
        <v>79</v>
      </c>
      <c r="B7" s="8" t="s">
        <v>80</v>
      </c>
      <c r="C7" s="8" t="s">
        <v>66</v>
      </c>
      <c r="D7" s="8" t="s">
        <v>67</v>
      </c>
      <c r="E7" s="8" t="s">
        <v>68</v>
      </c>
      <c r="F7" s="8" t="s">
        <v>69</v>
      </c>
      <c r="G7" s="8" t="n">
        <v>5</v>
      </c>
      <c r="H7" s="8" t="s">
        <v>70</v>
      </c>
      <c r="I7" s="8" t="s">
        <v>77</v>
      </c>
      <c r="J7" s="8" t="s">
        <v>78</v>
      </c>
      <c r="K7" s="8" t="s">
        <v>73</v>
      </c>
      <c r="L7" s="8" t="s">
        <v>73</v>
      </c>
      <c r="M7" s="8" t="s">
        <v>81</v>
      </c>
      <c r="N7" s="8"/>
    </row>
    <row r="8" customFormat="false" ht="23.85" hidden="false" customHeight="false" outlineLevel="0" collapsed="false">
      <c r="A8" s="8" t="s">
        <v>82</v>
      </c>
      <c r="B8" s="8" t="s">
        <v>83</v>
      </c>
      <c r="C8" s="8" t="s">
        <v>66</v>
      </c>
      <c r="D8" s="8" t="s">
        <v>67</v>
      </c>
      <c r="E8" s="8" t="s">
        <v>68</v>
      </c>
      <c r="F8" s="8" t="s">
        <v>69</v>
      </c>
      <c r="G8" s="8" t="n">
        <v>8</v>
      </c>
      <c r="H8" s="8" t="s">
        <v>84</v>
      </c>
      <c r="I8" s="8" t="s">
        <v>85</v>
      </c>
      <c r="J8" s="8" t="s">
        <v>72</v>
      </c>
      <c r="K8" s="8" t="s">
        <v>73</v>
      </c>
      <c r="L8" s="8" t="s">
        <v>69</v>
      </c>
      <c r="M8" s="8" t="s">
        <v>86</v>
      </c>
      <c r="N8" s="8"/>
    </row>
    <row r="9" customFormat="false" ht="15" hidden="false" customHeight="false" outlineLevel="0" collapsed="false">
      <c r="A9" s="8" t="s">
        <v>87</v>
      </c>
      <c r="B9" s="8" t="s">
        <v>88</v>
      </c>
      <c r="C9" s="8" t="s">
        <v>66</v>
      </c>
      <c r="D9" s="8" t="s">
        <v>67</v>
      </c>
      <c r="E9" s="8" t="s">
        <v>68</v>
      </c>
      <c r="F9" s="8" t="s">
        <v>69</v>
      </c>
      <c r="G9" s="8" t="n">
        <v>5</v>
      </c>
      <c r="H9" s="8" t="s">
        <v>89</v>
      </c>
      <c r="I9" s="8" t="s">
        <v>90</v>
      </c>
      <c r="J9" s="8" t="s">
        <v>91</v>
      </c>
      <c r="K9" s="8" t="s">
        <v>73</v>
      </c>
      <c r="L9" s="8" t="s">
        <v>69</v>
      </c>
      <c r="M9" s="8" t="s">
        <v>82</v>
      </c>
      <c r="N9" s="8"/>
    </row>
    <row r="10" customFormat="false" ht="15" hidden="false" customHeight="false" outlineLevel="0" collapsed="false">
      <c r="A10" s="8" t="s">
        <v>92</v>
      </c>
      <c r="B10" s="8" t="s">
        <v>93</v>
      </c>
      <c r="C10" s="8" t="s">
        <v>66</v>
      </c>
      <c r="D10" s="8" t="s">
        <v>67</v>
      </c>
      <c r="E10" s="8" t="s">
        <v>68</v>
      </c>
      <c r="F10" s="8" t="s">
        <v>69</v>
      </c>
      <c r="G10" s="8" t="n">
        <v>5</v>
      </c>
      <c r="H10" s="8" t="s">
        <v>89</v>
      </c>
      <c r="I10" s="8" t="s">
        <v>90</v>
      </c>
      <c r="J10" s="8" t="s">
        <v>78</v>
      </c>
      <c r="K10" s="8" t="s">
        <v>73</v>
      </c>
      <c r="L10" s="8" t="s">
        <v>69</v>
      </c>
      <c r="M10" s="8" t="s">
        <v>64</v>
      </c>
      <c r="N10" s="8"/>
    </row>
    <row r="11" customFormat="false" ht="23.85" hidden="false" customHeight="false" outlineLevel="0" collapsed="false">
      <c r="A11" s="8" t="s">
        <v>94</v>
      </c>
      <c r="B11" s="8" t="s">
        <v>95</v>
      </c>
      <c r="C11" s="8" t="s">
        <v>66</v>
      </c>
      <c r="D11" s="8" t="s">
        <v>67</v>
      </c>
      <c r="E11" s="8" t="s">
        <v>68</v>
      </c>
      <c r="F11" s="8" t="s">
        <v>69</v>
      </c>
      <c r="G11" s="8" t="n">
        <v>13</v>
      </c>
      <c r="H11" s="8" t="s">
        <v>96</v>
      </c>
      <c r="I11" s="8" t="s">
        <v>97</v>
      </c>
      <c r="J11" s="8" t="s">
        <v>72</v>
      </c>
      <c r="K11" s="8" t="s">
        <v>73</v>
      </c>
      <c r="L11" s="8" t="s">
        <v>69</v>
      </c>
      <c r="M11" s="8" t="s">
        <v>98</v>
      </c>
      <c r="N11" s="8"/>
    </row>
    <row r="12" customFormat="false" ht="15" hidden="false" customHeight="false" outlineLevel="0" collapsed="false">
      <c r="A12" s="8" t="s">
        <v>99</v>
      </c>
      <c r="B12" s="8" t="s">
        <v>100</v>
      </c>
      <c r="C12" s="8" t="s">
        <v>101</v>
      </c>
      <c r="D12" s="8" t="s">
        <v>102</v>
      </c>
      <c r="E12" s="8" t="s">
        <v>68</v>
      </c>
      <c r="F12" s="8" t="s">
        <v>69</v>
      </c>
      <c r="G12" s="8" t="n">
        <v>8</v>
      </c>
      <c r="H12" s="8" t="s">
        <v>70</v>
      </c>
      <c r="I12" s="8" t="s">
        <v>77</v>
      </c>
      <c r="J12" s="8" t="s">
        <v>103</v>
      </c>
      <c r="K12" s="8" t="s">
        <v>73</v>
      </c>
      <c r="L12" s="8" t="s">
        <v>73</v>
      </c>
      <c r="M12" s="8" t="s">
        <v>82</v>
      </c>
      <c r="N12" s="8"/>
    </row>
    <row r="13" customFormat="false" ht="15" hidden="false" customHeight="false" outlineLevel="0" collapsed="false">
      <c r="A13" s="8" t="s">
        <v>104</v>
      </c>
      <c r="B13" s="8" t="s">
        <v>105</v>
      </c>
      <c r="C13" s="8" t="s">
        <v>101</v>
      </c>
      <c r="D13" s="8" t="s">
        <v>102</v>
      </c>
      <c r="E13" s="8" t="s">
        <v>68</v>
      </c>
      <c r="F13" s="8" t="s">
        <v>69</v>
      </c>
      <c r="G13" s="8" t="n">
        <v>5</v>
      </c>
      <c r="H13" s="8" t="s">
        <v>70</v>
      </c>
      <c r="I13" s="8" t="s">
        <v>77</v>
      </c>
      <c r="J13" s="8" t="s">
        <v>106</v>
      </c>
      <c r="K13" s="8" t="s">
        <v>73</v>
      </c>
      <c r="L13" s="8" t="s">
        <v>73</v>
      </c>
      <c r="M13" s="8" t="s">
        <v>107</v>
      </c>
      <c r="N13" s="8"/>
    </row>
    <row r="14" customFormat="false" ht="15" hidden="false" customHeight="false" outlineLevel="0" collapsed="false">
      <c r="A14" s="8" t="s">
        <v>108</v>
      </c>
      <c r="B14" s="8" t="s">
        <v>109</v>
      </c>
      <c r="C14" s="8" t="s">
        <v>101</v>
      </c>
      <c r="D14" s="8" t="s">
        <v>102</v>
      </c>
      <c r="E14" s="8" t="s">
        <v>68</v>
      </c>
      <c r="F14" s="8" t="s">
        <v>69</v>
      </c>
      <c r="G14" s="8" t="n">
        <v>8</v>
      </c>
      <c r="H14" s="8" t="s">
        <v>70</v>
      </c>
      <c r="I14" s="8" t="s">
        <v>85</v>
      </c>
      <c r="J14" s="8" t="s">
        <v>103</v>
      </c>
      <c r="K14" s="8" t="s">
        <v>73</v>
      </c>
      <c r="L14" s="8" t="s">
        <v>73</v>
      </c>
      <c r="M14" s="8" t="s">
        <v>99</v>
      </c>
      <c r="N14" s="8" t="s">
        <v>110</v>
      </c>
    </row>
    <row r="15" customFormat="false" ht="15" hidden="false" customHeight="false" outlineLevel="0" collapsed="false">
      <c r="A15" s="8" t="s">
        <v>111</v>
      </c>
      <c r="B15" s="8" t="s">
        <v>112</v>
      </c>
      <c r="C15" s="8" t="s">
        <v>101</v>
      </c>
      <c r="D15" s="8" t="s">
        <v>102</v>
      </c>
      <c r="E15" s="8" t="s">
        <v>68</v>
      </c>
      <c r="F15" s="8" t="s">
        <v>69</v>
      </c>
      <c r="G15" s="8" t="n">
        <v>13</v>
      </c>
      <c r="H15" s="8" t="s">
        <v>70</v>
      </c>
      <c r="I15" s="8" t="s">
        <v>85</v>
      </c>
      <c r="J15" s="8" t="s">
        <v>113</v>
      </c>
      <c r="K15" s="8" t="s">
        <v>73</v>
      </c>
      <c r="L15" s="8" t="s">
        <v>73</v>
      </c>
      <c r="M15" s="8" t="s">
        <v>114</v>
      </c>
      <c r="N15" s="8" t="s">
        <v>115</v>
      </c>
    </row>
    <row r="16" customFormat="false" ht="15" hidden="false" customHeight="false" outlineLevel="0" collapsed="false">
      <c r="A16" s="8" t="s">
        <v>116</v>
      </c>
      <c r="B16" s="8" t="s">
        <v>117</v>
      </c>
      <c r="C16" s="8" t="s">
        <v>101</v>
      </c>
      <c r="D16" s="8" t="s">
        <v>102</v>
      </c>
      <c r="E16" s="8" t="s">
        <v>68</v>
      </c>
      <c r="F16" s="8" t="s">
        <v>69</v>
      </c>
      <c r="G16" s="8" t="n">
        <v>3</v>
      </c>
      <c r="H16" s="8" t="s">
        <v>84</v>
      </c>
      <c r="I16" s="8" t="s">
        <v>90</v>
      </c>
      <c r="J16" s="8" t="s">
        <v>106</v>
      </c>
      <c r="K16" s="8" t="s">
        <v>73</v>
      </c>
      <c r="L16" s="8" t="s">
        <v>69</v>
      </c>
      <c r="M16" s="8" t="s">
        <v>111</v>
      </c>
      <c r="N16" s="8"/>
    </row>
    <row r="17" customFormat="false" ht="23.85" hidden="false" customHeight="false" outlineLevel="0" collapsed="false">
      <c r="A17" s="8" t="s">
        <v>118</v>
      </c>
      <c r="B17" s="8" t="s">
        <v>119</v>
      </c>
      <c r="C17" s="8" t="s">
        <v>101</v>
      </c>
      <c r="D17" s="8" t="s">
        <v>102</v>
      </c>
      <c r="E17" s="8" t="s">
        <v>120</v>
      </c>
      <c r="F17" s="8" t="s">
        <v>69</v>
      </c>
      <c r="G17" s="8" t="n">
        <v>5</v>
      </c>
      <c r="H17" s="8" t="s">
        <v>89</v>
      </c>
      <c r="I17" s="8" t="s">
        <v>90</v>
      </c>
      <c r="J17" s="8" t="s">
        <v>121</v>
      </c>
      <c r="K17" s="8" t="s">
        <v>73</v>
      </c>
      <c r="L17" s="8" t="s">
        <v>69</v>
      </c>
      <c r="M17" s="8" t="s">
        <v>122</v>
      </c>
      <c r="N17" s="8"/>
    </row>
    <row r="18" customFormat="false" ht="15" hidden="false" customHeight="false" outlineLevel="0" collapsed="false">
      <c r="A18" s="8" t="s">
        <v>123</v>
      </c>
      <c r="B18" s="8" t="s">
        <v>124</v>
      </c>
      <c r="C18" s="8" t="s">
        <v>101</v>
      </c>
      <c r="D18" s="8" t="s">
        <v>102</v>
      </c>
      <c r="E18" s="8" t="s">
        <v>68</v>
      </c>
      <c r="F18" s="8" t="s">
        <v>69</v>
      </c>
      <c r="G18" s="8" t="n">
        <v>5</v>
      </c>
      <c r="H18" s="8" t="s">
        <v>96</v>
      </c>
      <c r="I18" s="8" t="s">
        <v>97</v>
      </c>
      <c r="J18" s="8" t="s">
        <v>103</v>
      </c>
      <c r="K18" s="8" t="s">
        <v>73</v>
      </c>
      <c r="L18" s="8" t="s">
        <v>69</v>
      </c>
      <c r="M18" s="8" t="s">
        <v>111</v>
      </c>
      <c r="N18" s="8"/>
    </row>
    <row r="19" customFormat="false" ht="15" hidden="false" customHeight="false" outlineLevel="0" collapsed="false">
      <c r="A19" s="8" t="s">
        <v>125</v>
      </c>
      <c r="B19" s="8" t="s">
        <v>126</v>
      </c>
      <c r="C19" s="8" t="s">
        <v>101</v>
      </c>
      <c r="D19" s="8" t="s">
        <v>102</v>
      </c>
      <c r="E19" s="8" t="s">
        <v>68</v>
      </c>
      <c r="F19" s="8" t="s">
        <v>69</v>
      </c>
      <c r="G19" s="8" t="n">
        <v>8</v>
      </c>
      <c r="H19" s="8" t="s">
        <v>96</v>
      </c>
      <c r="I19" s="8" t="s">
        <v>97</v>
      </c>
      <c r="J19" s="8" t="s">
        <v>127</v>
      </c>
      <c r="K19" s="8" t="s">
        <v>73</v>
      </c>
      <c r="L19" s="8" t="s">
        <v>69</v>
      </c>
      <c r="M19" s="8" t="s">
        <v>111</v>
      </c>
      <c r="N19" s="8"/>
    </row>
    <row r="20" customFormat="false" ht="23.85" hidden="false" customHeight="false" outlineLevel="0" collapsed="false">
      <c r="A20" s="8" t="s">
        <v>128</v>
      </c>
      <c r="B20" s="8" t="s">
        <v>129</v>
      </c>
      <c r="C20" s="8" t="s">
        <v>101</v>
      </c>
      <c r="D20" s="8" t="s">
        <v>102</v>
      </c>
      <c r="E20" s="8" t="s">
        <v>68</v>
      </c>
      <c r="F20" s="8" t="s">
        <v>69</v>
      </c>
      <c r="G20" s="8" t="n">
        <v>5</v>
      </c>
      <c r="H20" s="8" t="s">
        <v>130</v>
      </c>
      <c r="I20" s="8" t="s">
        <v>131</v>
      </c>
      <c r="J20" s="8" t="s">
        <v>106</v>
      </c>
      <c r="K20" s="8" t="s">
        <v>69</v>
      </c>
      <c r="L20" s="8" t="s">
        <v>69</v>
      </c>
      <c r="M20" s="8" t="s">
        <v>132</v>
      </c>
      <c r="N20" s="8"/>
    </row>
    <row r="21" customFormat="false" ht="15" hidden="false" customHeight="false" outlineLevel="0" collapsed="false">
      <c r="A21" s="8" t="s">
        <v>133</v>
      </c>
      <c r="B21" s="8" t="s">
        <v>134</v>
      </c>
      <c r="C21" s="8" t="s">
        <v>101</v>
      </c>
      <c r="D21" s="8" t="s">
        <v>102</v>
      </c>
      <c r="E21" s="8" t="s">
        <v>68</v>
      </c>
      <c r="F21" s="8" t="s">
        <v>69</v>
      </c>
      <c r="G21" s="8" t="n">
        <v>5</v>
      </c>
      <c r="H21" s="8" t="s">
        <v>130</v>
      </c>
      <c r="I21" s="8" t="s">
        <v>131</v>
      </c>
      <c r="J21" s="8" t="s">
        <v>106</v>
      </c>
      <c r="K21" s="8" t="s">
        <v>69</v>
      </c>
      <c r="L21" s="8" t="s">
        <v>69</v>
      </c>
      <c r="M21" s="8" t="s">
        <v>128</v>
      </c>
      <c r="N21" s="8"/>
    </row>
    <row r="22" customFormat="false" ht="15" hidden="false" customHeight="false" outlineLevel="0" collapsed="false">
      <c r="A22" s="8" t="s">
        <v>135</v>
      </c>
      <c r="B22" s="8" t="s">
        <v>136</v>
      </c>
      <c r="C22" s="8" t="s">
        <v>137</v>
      </c>
      <c r="D22" s="8" t="s">
        <v>138</v>
      </c>
      <c r="E22" s="8" t="s">
        <v>68</v>
      </c>
      <c r="F22" s="8" t="s">
        <v>73</v>
      </c>
      <c r="G22" s="8" t="n">
        <v>8</v>
      </c>
      <c r="H22" s="8" t="s">
        <v>89</v>
      </c>
      <c r="I22" s="8" t="s">
        <v>90</v>
      </c>
      <c r="J22" s="8" t="s">
        <v>139</v>
      </c>
      <c r="K22" s="8" t="s">
        <v>73</v>
      </c>
      <c r="L22" s="8" t="s">
        <v>69</v>
      </c>
      <c r="M22" s="8" t="s">
        <v>140</v>
      </c>
      <c r="N22" s="8" t="s">
        <v>141</v>
      </c>
    </row>
    <row r="23" customFormat="false" ht="15" hidden="false" customHeight="false" outlineLevel="0" collapsed="false">
      <c r="A23" s="8" t="s">
        <v>142</v>
      </c>
      <c r="B23" s="8" t="s">
        <v>143</v>
      </c>
      <c r="C23" s="8" t="s">
        <v>137</v>
      </c>
      <c r="D23" s="8" t="s">
        <v>138</v>
      </c>
      <c r="E23" s="8" t="s">
        <v>68</v>
      </c>
      <c r="F23" s="8" t="s">
        <v>73</v>
      </c>
      <c r="G23" s="8" t="n">
        <v>13</v>
      </c>
      <c r="H23" s="8" t="s">
        <v>96</v>
      </c>
      <c r="I23" s="8" t="s">
        <v>97</v>
      </c>
      <c r="J23" s="8" t="s">
        <v>144</v>
      </c>
      <c r="K23" s="8" t="s">
        <v>73</v>
      </c>
      <c r="L23" s="8" t="s">
        <v>69</v>
      </c>
      <c r="M23" s="8" t="s">
        <v>145</v>
      </c>
      <c r="N23" s="8" t="s">
        <v>141</v>
      </c>
    </row>
    <row r="24" customFormat="false" ht="23.85" hidden="false" customHeight="false" outlineLevel="0" collapsed="false">
      <c r="A24" s="8" t="s">
        <v>146</v>
      </c>
      <c r="B24" s="8" t="s">
        <v>147</v>
      </c>
      <c r="C24" s="8" t="s">
        <v>137</v>
      </c>
      <c r="D24" s="8" t="s">
        <v>138</v>
      </c>
      <c r="E24" s="8" t="s">
        <v>68</v>
      </c>
      <c r="F24" s="8" t="s">
        <v>73</v>
      </c>
      <c r="G24" s="8" t="n">
        <v>13</v>
      </c>
      <c r="H24" s="8" t="s">
        <v>96</v>
      </c>
      <c r="I24" s="8" t="s">
        <v>97</v>
      </c>
      <c r="J24" s="8" t="s">
        <v>139</v>
      </c>
      <c r="K24" s="8" t="s">
        <v>73</v>
      </c>
      <c r="L24" s="8" t="s">
        <v>69</v>
      </c>
      <c r="M24" s="8" t="s">
        <v>148</v>
      </c>
      <c r="N24" s="8" t="s">
        <v>141</v>
      </c>
    </row>
    <row r="25" customFormat="false" ht="15" hidden="false" customHeight="false" outlineLevel="0" collapsed="false">
      <c r="A25" s="8" t="s">
        <v>149</v>
      </c>
      <c r="B25" s="8" t="s">
        <v>150</v>
      </c>
      <c r="C25" s="8" t="s">
        <v>137</v>
      </c>
      <c r="D25" s="8" t="s">
        <v>138</v>
      </c>
      <c r="E25" s="8" t="s">
        <v>68</v>
      </c>
      <c r="F25" s="8" t="s">
        <v>73</v>
      </c>
      <c r="G25" s="8" t="n">
        <v>8</v>
      </c>
      <c r="H25" s="8" t="s">
        <v>130</v>
      </c>
      <c r="I25" s="8" t="s">
        <v>131</v>
      </c>
      <c r="J25" s="8" t="s">
        <v>144</v>
      </c>
      <c r="K25" s="8" t="s">
        <v>69</v>
      </c>
      <c r="L25" s="8" t="s">
        <v>69</v>
      </c>
      <c r="M25" s="8" t="s">
        <v>135</v>
      </c>
      <c r="N25" s="8" t="s">
        <v>141</v>
      </c>
    </row>
    <row r="26" customFormat="false" ht="15" hidden="false" customHeight="false" outlineLevel="0" collapsed="false">
      <c r="A26" s="8" t="s">
        <v>151</v>
      </c>
      <c r="B26" s="8" t="s">
        <v>152</v>
      </c>
      <c r="C26" s="8" t="s">
        <v>137</v>
      </c>
      <c r="D26" s="8" t="s">
        <v>138</v>
      </c>
      <c r="E26" s="8" t="s">
        <v>68</v>
      </c>
      <c r="F26" s="8" t="s">
        <v>73</v>
      </c>
      <c r="G26" s="8" t="n">
        <v>13</v>
      </c>
      <c r="H26" s="8" t="s">
        <v>130</v>
      </c>
      <c r="I26" s="8" t="s">
        <v>153</v>
      </c>
      <c r="J26" s="8" t="s">
        <v>139</v>
      </c>
      <c r="K26" s="8" t="s">
        <v>69</v>
      </c>
      <c r="L26" s="8" t="s">
        <v>69</v>
      </c>
      <c r="M26" s="8" t="s">
        <v>154</v>
      </c>
      <c r="N26" s="8" t="s">
        <v>141</v>
      </c>
    </row>
    <row r="27" customFormat="false" ht="23.85" hidden="false" customHeight="false" outlineLevel="0" collapsed="false">
      <c r="A27" s="8" t="s">
        <v>155</v>
      </c>
      <c r="B27" s="8" t="s">
        <v>156</v>
      </c>
      <c r="C27" s="8" t="s">
        <v>137</v>
      </c>
      <c r="D27" s="8" t="s">
        <v>138</v>
      </c>
      <c r="E27" s="8" t="s">
        <v>68</v>
      </c>
      <c r="F27" s="8" t="s">
        <v>73</v>
      </c>
      <c r="G27" s="8" t="n">
        <v>8</v>
      </c>
      <c r="H27" s="8" t="s">
        <v>130</v>
      </c>
      <c r="I27" s="8" t="s">
        <v>153</v>
      </c>
      <c r="J27" s="8" t="s">
        <v>144</v>
      </c>
      <c r="K27" s="8" t="s">
        <v>69</v>
      </c>
      <c r="L27" s="8" t="s">
        <v>69</v>
      </c>
      <c r="M27" s="8" t="s">
        <v>157</v>
      </c>
      <c r="N27" s="8" t="s">
        <v>158</v>
      </c>
    </row>
    <row r="28" customFormat="false" ht="23.85" hidden="false" customHeight="false" outlineLevel="0" collapsed="false">
      <c r="A28" s="8" t="s">
        <v>159</v>
      </c>
      <c r="B28" s="8" t="s">
        <v>160</v>
      </c>
      <c r="C28" s="8" t="s">
        <v>137</v>
      </c>
      <c r="D28" s="8" t="s">
        <v>138</v>
      </c>
      <c r="E28" s="8" t="s">
        <v>120</v>
      </c>
      <c r="F28" s="8" t="s">
        <v>73</v>
      </c>
      <c r="G28" s="8" t="n">
        <v>8</v>
      </c>
      <c r="H28" s="8" t="s">
        <v>161</v>
      </c>
      <c r="I28" s="8" t="s">
        <v>162</v>
      </c>
      <c r="J28" s="8"/>
      <c r="K28" s="8" t="s">
        <v>69</v>
      </c>
      <c r="L28" s="8" t="s">
        <v>69</v>
      </c>
      <c r="M28" s="8" t="s">
        <v>163</v>
      </c>
      <c r="N28" s="8"/>
    </row>
    <row r="29" customFormat="false" ht="15" hidden="false" customHeight="false" outlineLevel="0" collapsed="false">
      <c r="A29" s="8" t="s">
        <v>164</v>
      </c>
      <c r="B29" s="8" t="s">
        <v>165</v>
      </c>
      <c r="C29" s="8" t="s">
        <v>166</v>
      </c>
      <c r="D29" s="8" t="s">
        <v>138</v>
      </c>
      <c r="E29" s="8" t="s">
        <v>68</v>
      </c>
      <c r="F29" s="8" t="s">
        <v>73</v>
      </c>
      <c r="G29" s="8" t="n">
        <v>8</v>
      </c>
      <c r="H29" s="8" t="s">
        <v>96</v>
      </c>
      <c r="I29" s="8" t="s">
        <v>131</v>
      </c>
      <c r="J29" s="8" t="s">
        <v>167</v>
      </c>
      <c r="K29" s="8" t="s">
        <v>73</v>
      </c>
      <c r="L29" s="8" t="s">
        <v>69</v>
      </c>
      <c r="M29" s="8" t="s">
        <v>168</v>
      </c>
      <c r="N29" s="8"/>
    </row>
    <row r="30" customFormat="false" ht="15" hidden="false" customHeight="false" outlineLevel="0" collapsed="false">
      <c r="A30" s="8" t="s">
        <v>169</v>
      </c>
      <c r="B30" s="8" t="s">
        <v>170</v>
      </c>
      <c r="C30" s="8" t="s">
        <v>166</v>
      </c>
      <c r="D30" s="8" t="s">
        <v>138</v>
      </c>
      <c r="E30" s="8" t="s">
        <v>68</v>
      </c>
      <c r="F30" s="8" t="s">
        <v>73</v>
      </c>
      <c r="G30" s="8" t="n">
        <v>5</v>
      </c>
      <c r="H30" s="8" t="s">
        <v>130</v>
      </c>
      <c r="I30" s="8" t="s">
        <v>131</v>
      </c>
      <c r="J30" s="8" t="s">
        <v>167</v>
      </c>
      <c r="K30" s="8" t="s">
        <v>69</v>
      </c>
      <c r="L30" s="8" t="s">
        <v>69</v>
      </c>
      <c r="M30" s="8" t="s">
        <v>164</v>
      </c>
      <c r="N30" s="8"/>
    </row>
    <row r="31" customFormat="false" ht="23.85" hidden="false" customHeight="false" outlineLevel="0" collapsed="false">
      <c r="A31" s="8" t="s">
        <v>171</v>
      </c>
      <c r="B31" s="8" t="s">
        <v>172</v>
      </c>
      <c r="C31" s="8" t="s">
        <v>166</v>
      </c>
      <c r="D31" s="8" t="s">
        <v>138</v>
      </c>
      <c r="E31" s="8" t="s">
        <v>68</v>
      </c>
      <c r="F31" s="8" t="s">
        <v>73</v>
      </c>
      <c r="G31" s="8" t="n">
        <v>8</v>
      </c>
      <c r="H31" s="8" t="s">
        <v>130</v>
      </c>
      <c r="I31" s="8" t="s">
        <v>153</v>
      </c>
      <c r="J31" s="8" t="s">
        <v>173</v>
      </c>
      <c r="K31" s="8" t="s">
        <v>69</v>
      </c>
      <c r="L31" s="8" t="s">
        <v>69</v>
      </c>
      <c r="M31" s="8" t="s">
        <v>174</v>
      </c>
      <c r="N31" s="8" t="s">
        <v>175</v>
      </c>
    </row>
    <row r="32" customFormat="false" ht="15" hidden="false" customHeight="false" outlineLevel="0" collapsed="false">
      <c r="A32" s="8" t="s">
        <v>176</v>
      </c>
      <c r="B32" s="8" t="s">
        <v>177</v>
      </c>
      <c r="C32" s="8" t="s">
        <v>166</v>
      </c>
      <c r="D32" s="8" t="s">
        <v>138</v>
      </c>
      <c r="E32" s="8" t="s">
        <v>68</v>
      </c>
      <c r="F32" s="8" t="s">
        <v>73</v>
      </c>
      <c r="G32" s="8" t="n">
        <v>5</v>
      </c>
      <c r="H32" s="8" t="s">
        <v>161</v>
      </c>
      <c r="I32" s="8" t="s">
        <v>162</v>
      </c>
      <c r="J32" s="8"/>
      <c r="K32" s="8" t="s">
        <v>69</v>
      </c>
      <c r="L32" s="8" t="s">
        <v>69</v>
      </c>
      <c r="M32" s="8" t="s">
        <v>178</v>
      </c>
      <c r="N32" s="8"/>
    </row>
    <row r="33" customFormat="false" ht="15" hidden="false" customHeight="false" outlineLevel="0" collapsed="false">
      <c r="A33" s="8" t="s">
        <v>179</v>
      </c>
      <c r="B33" s="8" t="s">
        <v>180</v>
      </c>
      <c r="C33" s="8" t="s">
        <v>181</v>
      </c>
      <c r="D33" s="8" t="s">
        <v>67</v>
      </c>
      <c r="E33" s="8" t="s">
        <v>68</v>
      </c>
      <c r="F33" s="8" t="s">
        <v>69</v>
      </c>
      <c r="G33" s="8" t="n">
        <v>8</v>
      </c>
      <c r="H33" s="8" t="s">
        <v>96</v>
      </c>
      <c r="I33" s="8" t="s">
        <v>97</v>
      </c>
      <c r="J33" s="8" t="s">
        <v>91</v>
      </c>
      <c r="K33" s="8" t="s">
        <v>73</v>
      </c>
      <c r="L33" s="8" t="s">
        <v>69</v>
      </c>
      <c r="M33" s="8" t="s">
        <v>182</v>
      </c>
      <c r="N33" s="8"/>
    </row>
    <row r="34" customFormat="false" ht="15" hidden="false" customHeight="false" outlineLevel="0" collapsed="false">
      <c r="A34" s="8" t="s">
        <v>183</v>
      </c>
      <c r="B34" s="8" t="s">
        <v>184</v>
      </c>
      <c r="C34" s="8" t="s">
        <v>181</v>
      </c>
      <c r="D34" s="8" t="s">
        <v>67</v>
      </c>
      <c r="E34" s="8" t="s">
        <v>68</v>
      </c>
      <c r="F34" s="8" t="s">
        <v>69</v>
      </c>
      <c r="G34" s="8" t="n">
        <v>5</v>
      </c>
      <c r="H34" s="8" t="s">
        <v>96</v>
      </c>
      <c r="I34" s="8" t="s">
        <v>131</v>
      </c>
      <c r="J34" s="8" t="s">
        <v>91</v>
      </c>
      <c r="K34" s="8" t="s">
        <v>73</v>
      </c>
      <c r="L34" s="8" t="s">
        <v>69</v>
      </c>
      <c r="M34" s="8" t="s">
        <v>179</v>
      </c>
      <c r="N34" s="8"/>
    </row>
    <row r="35" customFormat="false" ht="15" hidden="false" customHeight="false" outlineLevel="0" collapsed="false">
      <c r="A35" s="8" t="s">
        <v>185</v>
      </c>
      <c r="B35" s="8" t="s">
        <v>186</v>
      </c>
      <c r="C35" s="8" t="s">
        <v>181</v>
      </c>
      <c r="D35" s="8" t="s">
        <v>67</v>
      </c>
      <c r="E35" s="8" t="s">
        <v>68</v>
      </c>
      <c r="F35" s="8" t="s">
        <v>69</v>
      </c>
      <c r="G35" s="8" t="n">
        <v>5</v>
      </c>
      <c r="H35" s="8" t="s">
        <v>130</v>
      </c>
      <c r="I35" s="8" t="s">
        <v>131</v>
      </c>
      <c r="J35" s="8" t="s">
        <v>78</v>
      </c>
      <c r="K35" s="8" t="s">
        <v>69</v>
      </c>
      <c r="L35" s="8" t="s">
        <v>69</v>
      </c>
      <c r="M35" s="8" t="s">
        <v>187</v>
      </c>
      <c r="N35" s="8"/>
    </row>
    <row r="36" customFormat="false" ht="15" hidden="false" customHeight="false" outlineLevel="0" collapsed="false">
      <c r="A36" s="8" t="s">
        <v>188</v>
      </c>
      <c r="B36" s="8" t="s">
        <v>189</v>
      </c>
      <c r="C36" s="8" t="s">
        <v>181</v>
      </c>
      <c r="D36" s="8" t="s">
        <v>67</v>
      </c>
      <c r="E36" s="8" t="s">
        <v>68</v>
      </c>
      <c r="F36" s="8" t="s">
        <v>69</v>
      </c>
      <c r="G36" s="8" t="n">
        <v>8</v>
      </c>
      <c r="H36" s="8" t="s">
        <v>161</v>
      </c>
      <c r="I36" s="8" t="s">
        <v>162</v>
      </c>
      <c r="J36" s="8"/>
      <c r="K36" s="8" t="s">
        <v>69</v>
      </c>
      <c r="L36" s="8" t="s">
        <v>69</v>
      </c>
      <c r="M36" s="8" t="s">
        <v>179</v>
      </c>
      <c r="N36" s="8"/>
    </row>
    <row r="37" customFormat="false" ht="23.85" hidden="false" customHeight="false" outlineLevel="0" collapsed="false">
      <c r="A37" s="8" t="s">
        <v>190</v>
      </c>
      <c r="B37" s="8" t="s">
        <v>191</v>
      </c>
      <c r="C37" s="8" t="s">
        <v>192</v>
      </c>
      <c r="D37" s="8" t="s">
        <v>193</v>
      </c>
      <c r="E37" s="8" t="s">
        <v>68</v>
      </c>
      <c r="F37" s="8" t="s">
        <v>69</v>
      </c>
      <c r="G37" s="8" t="n">
        <v>8</v>
      </c>
      <c r="H37" s="8" t="s">
        <v>70</v>
      </c>
      <c r="I37" s="8" t="s">
        <v>71</v>
      </c>
      <c r="J37" s="8" t="s">
        <v>194</v>
      </c>
      <c r="K37" s="8" t="s">
        <v>73</v>
      </c>
      <c r="L37" s="8" t="s">
        <v>73</v>
      </c>
      <c r="M37" s="8" t="s">
        <v>195</v>
      </c>
      <c r="N37" s="8"/>
    </row>
    <row r="38" customFormat="false" ht="23.85" hidden="false" customHeight="false" outlineLevel="0" collapsed="false">
      <c r="A38" s="8" t="s">
        <v>196</v>
      </c>
      <c r="B38" s="8" t="s">
        <v>197</v>
      </c>
      <c r="C38" s="8" t="s">
        <v>192</v>
      </c>
      <c r="D38" s="8" t="s">
        <v>193</v>
      </c>
      <c r="E38" s="8" t="s">
        <v>68</v>
      </c>
      <c r="F38" s="8" t="s">
        <v>69</v>
      </c>
      <c r="G38" s="8" t="n">
        <v>13</v>
      </c>
      <c r="H38" s="8" t="s">
        <v>70</v>
      </c>
      <c r="I38" s="8" t="s">
        <v>77</v>
      </c>
      <c r="J38" s="8" t="s">
        <v>194</v>
      </c>
      <c r="K38" s="8" t="s">
        <v>73</v>
      </c>
      <c r="L38" s="8" t="s">
        <v>73</v>
      </c>
      <c r="M38" s="8" t="s">
        <v>198</v>
      </c>
      <c r="N38" s="8"/>
    </row>
    <row r="39" customFormat="false" ht="23.85" hidden="false" customHeight="false" outlineLevel="0" collapsed="false">
      <c r="A39" s="8" t="s">
        <v>199</v>
      </c>
      <c r="B39" s="8" t="s">
        <v>200</v>
      </c>
      <c r="C39" s="8" t="s">
        <v>192</v>
      </c>
      <c r="D39" s="8" t="s">
        <v>193</v>
      </c>
      <c r="E39" s="8" t="s">
        <v>68</v>
      </c>
      <c r="F39" s="8" t="s">
        <v>73</v>
      </c>
      <c r="G39" s="8" t="n">
        <v>8</v>
      </c>
      <c r="H39" s="8" t="s">
        <v>70</v>
      </c>
      <c r="I39" s="8" t="s">
        <v>85</v>
      </c>
      <c r="J39" s="8" t="s">
        <v>194</v>
      </c>
      <c r="K39" s="8" t="s">
        <v>73</v>
      </c>
      <c r="L39" s="8" t="s">
        <v>73</v>
      </c>
      <c r="M39" s="8" t="s">
        <v>201</v>
      </c>
      <c r="N39" s="8"/>
    </row>
    <row r="40" customFormat="false" ht="23.85" hidden="false" customHeight="false" outlineLevel="0" collapsed="false">
      <c r="A40" s="8" t="s">
        <v>202</v>
      </c>
      <c r="B40" s="8" t="s">
        <v>203</v>
      </c>
      <c r="C40" s="8" t="s">
        <v>192</v>
      </c>
      <c r="D40" s="8" t="s">
        <v>193</v>
      </c>
      <c r="E40" s="8" t="s">
        <v>68</v>
      </c>
      <c r="F40" s="8" t="s">
        <v>73</v>
      </c>
      <c r="G40" s="8" t="n">
        <v>8</v>
      </c>
      <c r="H40" s="8" t="s">
        <v>84</v>
      </c>
      <c r="I40" s="8" t="s">
        <v>90</v>
      </c>
      <c r="J40" s="8" t="s">
        <v>194</v>
      </c>
      <c r="K40" s="8" t="s">
        <v>73</v>
      </c>
      <c r="L40" s="8" t="s">
        <v>69</v>
      </c>
      <c r="M40" s="8" t="s">
        <v>204</v>
      </c>
      <c r="N40" s="8"/>
    </row>
    <row r="41" customFormat="false" ht="23.85" hidden="false" customHeight="false" outlineLevel="0" collapsed="false">
      <c r="A41" s="8" t="s">
        <v>205</v>
      </c>
      <c r="B41" s="8" t="s">
        <v>206</v>
      </c>
      <c r="C41" s="8" t="s">
        <v>207</v>
      </c>
      <c r="D41" s="8" t="s">
        <v>193</v>
      </c>
      <c r="E41" s="8" t="s">
        <v>68</v>
      </c>
      <c r="F41" s="8" t="s">
        <v>73</v>
      </c>
      <c r="G41" s="8" t="n">
        <v>8</v>
      </c>
      <c r="H41" s="8" t="s">
        <v>70</v>
      </c>
      <c r="I41" s="8" t="s">
        <v>71</v>
      </c>
      <c r="J41" s="8" t="s">
        <v>208</v>
      </c>
      <c r="K41" s="8" t="s">
        <v>73</v>
      </c>
      <c r="L41" s="8" t="s">
        <v>73</v>
      </c>
      <c r="M41" s="8" t="s">
        <v>209</v>
      </c>
      <c r="N41" s="8"/>
    </row>
    <row r="42" customFormat="false" ht="23.85" hidden="false" customHeight="false" outlineLevel="0" collapsed="false">
      <c r="A42" s="8" t="s">
        <v>210</v>
      </c>
      <c r="B42" s="8" t="s">
        <v>211</v>
      </c>
      <c r="C42" s="8" t="s">
        <v>207</v>
      </c>
      <c r="D42" s="8" t="s">
        <v>193</v>
      </c>
      <c r="E42" s="8" t="s">
        <v>68</v>
      </c>
      <c r="F42" s="8" t="s">
        <v>73</v>
      </c>
      <c r="G42" s="8" t="n">
        <v>5</v>
      </c>
      <c r="H42" s="8" t="s">
        <v>70</v>
      </c>
      <c r="I42" s="8" t="s">
        <v>71</v>
      </c>
      <c r="J42" s="8" t="s">
        <v>208</v>
      </c>
      <c r="K42" s="8" t="s">
        <v>73</v>
      </c>
      <c r="L42" s="8" t="s">
        <v>73</v>
      </c>
      <c r="M42" s="8"/>
      <c r="N42" s="8"/>
    </row>
    <row r="43" customFormat="false" ht="23.85" hidden="false" customHeight="false" outlineLevel="0" collapsed="false">
      <c r="A43" s="8" t="s">
        <v>212</v>
      </c>
      <c r="B43" s="8" t="s">
        <v>213</v>
      </c>
      <c r="C43" s="8" t="s">
        <v>207</v>
      </c>
      <c r="D43" s="8" t="s">
        <v>193</v>
      </c>
      <c r="E43" s="8" t="s">
        <v>68</v>
      </c>
      <c r="F43" s="8" t="s">
        <v>73</v>
      </c>
      <c r="G43" s="8" t="n">
        <v>8</v>
      </c>
      <c r="H43" s="8" t="s">
        <v>84</v>
      </c>
      <c r="I43" s="8" t="s">
        <v>85</v>
      </c>
      <c r="J43" s="8" t="s">
        <v>208</v>
      </c>
      <c r="K43" s="8" t="s">
        <v>73</v>
      </c>
      <c r="L43" s="8" t="s">
        <v>69</v>
      </c>
      <c r="M43" s="8" t="s">
        <v>205</v>
      </c>
      <c r="N43" s="8"/>
    </row>
    <row r="44" customFormat="false" ht="23.85" hidden="false" customHeight="false" outlineLevel="0" collapsed="false">
      <c r="A44" s="8" t="s">
        <v>214</v>
      </c>
      <c r="B44" s="8" t="s">
        <v>215</v>
      </c>
      <c r="C44" s="8" t="s">
        <v>207</v>
      </c>
      <c r="D44" s="8" t="s">
        <v>193</v>
      </c>
      <c r="E44" s="8" t="s">
        <v>68</v>
      </c>
      <c r="F44" s="8" t="s">
        <v>73</v>
      </c>
      <c r="G44" s="8" t="n">
        <v>5</v>
      </c>
      <c r="H44" s="8" t="s">
        <v>70</v>
      </c>
      <c r="I44" s="8" t="s">
        <v>77</v>
      </c>
      <c r="J44" s="8" t="s">
        <v>208</v>
      </c>
      <c r="K44" s="8" t="s">
        <v>73</v>
      </c>
      <c r="L44" s="8" t="s">
        <v>73</v>
      </c>
      <c r="M44" s="8" t="s">
        <v>216</v>
      </c>
      <c r="N44" s="8"/>
    </row>
    <row r="47" customFormat="false" ht="15" hidden="false" customHeight="false" outlineLevel="0" collapsed="false">
      <c r="A47" s="9" t="s">
        <v>217</v>
      </c>
    </row>
    <row r="48" customFormat="false" ht="15" hidden="false" customHeight="false" outlineLevel="0" collapsed="false">
      <c r="A48" s="4" t="s">
        <v>218</v>
      </c>
      <c r="B48" s="10" t="n">
        <f aca="false">COUNTA(A5:A500)-COUNTIF(A5:A500,"")</f>
        <v>-394</v>
      </c>
    </row>
    <row r="49" customFormat="false" ht="15" hidden="false" customHeight="false" outlineLevel="0" collapsed="false">
      <c r="A49" s="4" t="s">
        <v>219</v>
      </c>
      <c r="B49" s="10" t="n">
        <f aca="false">COUNTIF(F5:F500,"Y")</f>
        <v>17</v>
      </c>
    </row>
    <row r="50" customFormat="false" ht="15" hidden="false" customHeight="false" outlineLevel="0" collapsed="false">
      <c r="A50" s="4" t="s">
        <v>220</v>
      </c>
      <c r="B50" s="10" t="n">
        <f aca="false">SUM(G5:G500)</f>
        <v>300</v>
      </c>
    </row>
    <row r="51" customFormat="false" ht="15" hidden="false" customHeight="false" outlineLevel="0" collapsed="false">
      <c r="A51" s="4" t="s">
        <v>221</v>
      </c>
      <c r="B51" s="10" t="n">
        <f aca="false">COUNTIF(H5:H500,"Done")</f>
        <v>13</v>
      </c>
    </row>
    <row r="52" customFormat="false" ht="15" hidden="false" customHeight="false" outlineLevel="0" collapsed="false">
      <c r="A52" s="4" t="s">
        <v>222</v>
      </c>
      <c r="B52" s="10" t="n">
        <f aca="false">COUNTIF(H5:H500,"In Test")</f>
        <v>4</v>
      </c>
    </row>
    <row r="53" customFormat="false" ht="15" hidden="false" customHeight="false" outlineLevel="0" collapsed="false">
      <c r="A53" s="4" t="s">
        <v>223</v>
      </c>
      <c r="B53" s="10" t="n">
        <f aca="false">COUNTIF(H5:H500,"In Sprint")</f>
        <v>4</v>
      </c>
    </row>
    <row r="54" customFormat="false" ht="15" hidden="false" customHeight="false" outlineLevel="0" collapsed="false">
      <c r="A54" s="4" t="s">
        <v>224</v>
      </c>
      <c r="B54" s="10" t="n">
        <f aca="false">COUNTIF(H5:H500,"Ready")</f>
        <v>8</v>
      </c>
    </row>
    <row r="55" customFormat="false" ht="15" hidden="false" customHeight="false" outlineLevel="0" collapsed="false">
      <c r="A55" s="4" t="s">
        <v>225</v>
      </c>
      <c r="B55" s="10" t="n">
        <f aca="false">SUMIF(H5:H500,"Done",G5:G500)</f>
        <v>99</v>
      </c>
    </row>
    <row r="56" customFormat="false" ht="15" hidden="false" customHeight="false" outlineLevel="0" collapsed="false">
      <c r="A56" s="4" t="s">
        <v>226</v>
      </c>
      <c r="B56" s="11" t="n">
        <f aca="false">IFERROR(SUMIF(H5:H500,"Done",G5:G500)/SUM(G5:G500),0)</f>
        <v>0.33</v>
      </c>
    </row>
    <row r="57" customFormat="false" ht="15" hidden="false" customHeight="false" outlineLevel="0" collapsed="false">
      <c r="A57" s="4" t="s">
        <v>227</v>
      </c>
      <c r="B57" s="10" t="n">
        <f aca="false">COUNTIF(H5:H500,"Blocked")</f>
        <v>0</v>
      </c>
    </row>
  </sheetData>
  <mergeCells count="3">
    <mergeCell ref="A1:N1"/>
    <mergeCell ref="A2:N2"/>
    <mergeCell ref="A3:N3"/>
  </mergeCells>
  <conditionalFormatting sqref="H5:H500">
    <cfRule type="expression" priority="2" aboveAverage="0" equalAverage="0" bottom="0" percent="0" rank="0" text="" dxfId="0">
      <formula>$H5="Done"</formula>
    </cfRule>
    <cfRule type="expression" priority="3" aboveAverage="0" equalAverage="0" bottom="0" percent="0" rank="0" text="" dxfId="1">
      <formula>$H5="In Test"</formula>
    </cfRule>
    <cfRule type="expression" priority="4" aboveAverage="0" equalAverage="0" bottom="0" percent="0" rank="0" text="" dxfId="2">
      <formula>$H5="In Sprint"</formula>
    </cfRule>
    <cfRule type="expression" priority="5" aboveAverage="0" equalAverage="0" bottom="0" percent="0" rank="0" text="" dxfId="3">
      <formula>$H5="Blocked"</formula>
    </cfRule>
  </conditionalFormatting>
  <conditionalFormatting sqref="F5:F500">
    <cfRule type="expression" priority="6" aboveAverage="0" equalAverage="0" bottom="0" percent="0" rank="0" text="" dxfId="4">
      <formula>$F5="Y"</formula>
    </cfRule>
  </conditionalFormatting>
  <dataValidations count="3">
    <dataValidation allowBlank="true" errorStyle="stop" operator="between" showDropDown="false" showErrorMessage="false" showInputMessage="false" sqref="E5:E500" type="list">
      <formula1>"Must,Should,Could,Won't"</formula1>
      <formula2>0</formula2>
    </dataValidation>
    <dataValidation allowBlank="true" errorStyle="stop" operator="between" showDropDown="false" showErrorMessage="false" showInputMessage="false" sqref="F5:F500 K5:L500" type="list">
      <formula1>"Y,N"</formula1>
      <formula2>0</formula2>
    </dataValidation>
    <dataValidation allowBlank="true" errorStyle="stop" operator="between" showDropDown="false" showErrorMessage="false" showInputMessage="false" sqref="H5:H500" type="list">
      <formula1>"Backlog,Refined,Ready,In Sprint,In Test,Done,Blocked,Deferred"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22"/>
  </cols>
  <sheetData>
    <row r="1" customFormat="false" ht="24" hidden="false" customHeight="true" outlineLevel="0" collapsed="false">
      <c r="A1" s="5" t="s">
        <v>228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6" t="s">
        <v>229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6" t="s">
        <v>230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31.5" hidden="false" customHeight="true" outlineLevel="0" collapsed="false">
      <c r="A4" s="7" t="s">
        <v>58</v>
      </c>
      <c r="B4" s="7" t="s">
        <v>50</v>
      </c>
      <c r="C4" s="7" t="s">
        <v>51</v>
      </c>
      <c r="D4" s="7" t="s">
        <v>59</v>
      </c>
      <c r="E4" s="7" t="s">
        <v>53</v>
      </c>
      <c r="F4" s="7" t="s">
        <v>56</v>
      </c>
      <c r="G4" s="7" t="s">
        <v>231</v>
      </c>
      <c r="H4" s="7" t="s">
        <v>232</v>
      </c>
      <c r="I4" s="7" t="s">
        <v>233</v>
      </c>
      <c r="J4" s="7" t="s">
        <v>63</v>
      </c>
    </row>
    <row r="5" customFormat="false" ht="15" hidden="false" customHeight="false" outlineLevel="0" collapsed="false">
      <c r="A5" s="8" t="s">
        <v>90</v>
      </c>
      <c r="B5" s="8" t="s">
        <v>87</v>
      </c>
      <c r="C5" s="8" t="s">
        <v>234</v>
      </c>
      <c r="D5" s="8" t="s">
        <v>91</v>
      </c>
      <c r="E5" s="8" t="s">
        <v>67</v>
      </c>
      <c r="F5" s="8" t="n">
        <v>5</v>
      </c>
      <c r="G5" s="8" t="s">
        <v>235</v>
      </c>
      <c r="H5" s="8" t="n">
        <v>6</v>
      </c>
      <c r="I5" s="8"/>
      <c r="J5" s="8"/>
    </row>
    <row r="6" customFormat="false" ht="15" hidden="false" customHeight="false" outlineLevel="0" collapsed="false">
      <c r="A6" s="8" t="s">
        <v>90</v>
      </c>
      <c r="B6" s="8" t="s">
        <v>92</v>
      </c>
      <c r="C6" s="8" t="s">
        <v>93</v>
      </c>
      <c r="D6" s="8" t="s">
        <v>78</v>
      </c>
      <c r="E6" s="8" t="s">
        <v>67</v>
      </c>
      <c r="F6" s="8" t="n">
        <v>5</v>
      </c>
      <c r="G6" s="8" t="s">
        <v>236</v>
      </c>
      <c r="H6" s="8" t="n">
        <v>2</v>
      </c>
      <c r="I6" s="8"/>
      <c r="J6" s="8" t="s">
        <v>237</v>
      </c>
    </row>
    <row r="7" customFormat="false" ht="15" hidden="false" customHeight="false" outlineLevel="0" collapsed="false">
      <c r="A7" s="8" t="s">
        <v>90</v>
      </c>
      <c r="B7" s="8" t="s">
        <v>116</v>
      </c>
      <c r="C7" s="8" t="s">
        <v>117</v>
      </c>
      <c r="D7" s="8" t="s">
        <v>106</v>
      </c>
      <c r="E7" s="8" t="s">
        <v>102</v>
      </c>
      <c r="F7" s="8" t="n">
        <v>3</v>
      </c>
      <c r="G7" s="8" t="s">
        <v>84</v>
      </c>
      <c r="H7" s="8" t="n">
        <v>0</v>
      </c>
      <c r="I7" s="8"/>
      <c r="J7" s="8"/>
    </row>
    <row r="8" customFormat="false" ht="15" hidden="false" customHeight="false" outlineLevel="0" collapsed="false">
      <c r="A8" s="8" t="s">
        <v>90</v>
      </c>
      <c r="B8" s="8" t="s">
        <v>118</v>
      </c>
      <c r="C8" s="8" t="s">
        <v>119</v>
      </c>
      <c r="D8" s="8" t="s">
        <v>121</v>
      </c>
      <c r="E8" s="8" t="s">
        <v>102</v>
      </c>
      <c r="F8" s="8" t="n">
        <v>5</v>
      </c>
      <c r="G8" s="8" t="s">
        <v>235</v>
      </c>
      <c r="H8" s="8" t="n">
        <v>8</v>
      </c>
      <c r="I8" s="8" t="s">
        <v>238</v>
      </c>
      <c r="J8" s="8"/>
    </row>
    <row r="9" customFormat="false" ht="15" hidden="false" customHeight="false" outlineLevel="0" collapsed="false">
      <c r="A9" s="8" t="s">
        <v>90</v>
      </c>
      <c r="B9" s="8" t="s">
        <v>135</v>
      </c>
      <c r="C9" s="8" t="s">
        <v>136</v>
      </c>
      <c r="D9" s="8" t="s">
        <v>139</v>
      </c>
      <c r="E9" s="8" t="s">
        <v>138</v>
      </c>
      <c r="F9" s="8" t="n">
        <v>8</v>
      </c>
      <c r="G9" s="8" t="s">
        <v>235</v>
      </c>
      <c r="H9" s="8" t="n">
        <v>18</v>
      </c>
      <c r="I9" s="8"/>
      <c r="J9" s="8" t="s">
        <v>239</v>
      </c>
    </row>
    <row r="10" customFormat="false" ht="23.85" hidden="false" customHeight="false" outlineLevel="0" collapsed="false">
      <c r="A10" s="8" t="s">
        <v>90</v>
      </c>
      <c r="B10" s="8" t="s">
        <v>202</v>
      </c>
      <c r="C10" s="8" t="s">
        <v>240</v>
      </c>
      <c r="D10" s="8" t="s">
        <v>194</v>
      </c>
      <c r="E10" s="8" t="s">
        <v>193</v>
      </c>
      <c r="F10" s="8" t="n">
        <v>8</v>
      </c>
      <c r="G10" s="8" t="s">
        <v>84</v>
      </c>
      <c r="H10" s="8" t="n">
        <v>0</v>
      </c>
      <c r="I10" s="8"/>
      <c r="J10" s="8" t="s">
        <v>241</v>
      </c>
    </row>
    <row r="11" customFormat="false" ht="23.85" hidden="false" customHeight="false" outlineLevel="0" collapsed="false">
      <c r="A11" s="8" t="s">
        <v>90</v>
      </c>
      <c r="B11" s="8" t="s">
        <v>242</v>
      </c>
      <c r="C11" s="8" t="s">
        <v>243</v>
      </c>
      <c r="D11" s="8" t="s">
        <v>244</v>
      </c>
      <c r="E11" s="8" t="s">
        <v>193</v>
      </c>
      <c r="F11" s="8" t="n">
        <v>3</v>
      </c>
      <c r="G11" s="8" t="s">
        <v>236</v>
      </c>
      <c r="H11" s="8" t="n">
        <v>1</v>
      </c>
      <c r="I11" s="8"/>
      <c r="J11" s="8" t="s">
        <v>245</v>
      </c>
    </row>
    <row r="12" customFormat="false" ht="15" hidden="false" customHeight="false" outlineLevel="0" collapsed="false">
      <c r="A12" s="8" t="s">
        <v>90</v>
      </c>
      <c r="B12" s="8" t="s">
        <v>246</v>
      </c>
      <c r="C12" s="8" t="s">
        <v>247</v>
      </c>
      <c r="D12" s="8" t="s">
        <v>103</v>
      </c>
      <c r="E12" s="8" t="s">
        <v>102</v>
      </c>
      <c r="F12" s="8" t="n">
        <v>3</v>
      </c>
      <c r="G12" s="8" t="s">
        <v>70</v>
      </c>
      <c r="H12" s="8" t="n">
        <v>0</v>
      </c>
      <c r="I12" s="8"/>
      <c r="J12" s="8"/>
    </row>
    <row r="13" customFormat="false" ht="15" hidden="false" customHeight="false" outlineLevel="0" collapsed="false">
      <c r="A13" s="8" t="s">
        <v>90</v>
      </c>
      <c r="B13" s="8" t="s">
        <v>248</v>
      </c>
      <c r="C13" s="8" t="s">
        <v>249</v>
      </c>
      <c r="D13" s="8" t="s">
        <v>72</v>
      </c>
      <c r="E13" s="8" t="s">
        <v>67</v>
      </c>
      <c r="F13" s="8" t="n">
        <v>2</v>
      </c>
      <c r="G13" s="8" t="s">
        <v>70</v>
      </c>
      <c r="H13" s="8" t="n">
        <v>0</v>
      </c>
      <c r="I13" s="8"/>
      <c r="J13" s="8" t="s">
        <v>250</v>
      </c>
    </row>
    <row r="14" customFormat="false" ht="15" hidden="false" customHeight="false" outlineLevel="0" collapsed="false">
      <c r="A14" s="8" t="s">
        <v>97</v>
      </c>
      <c r="B14" s="8" t="s">
        <v>94</v>
      </c>
      <c r="C14" s="8" t="s">
        <v>251</v>
      </c>
      <c r="D14" s="8" t="s">
        <v>72</v>
      </c>
      <c r="E14" s="8" t="s">
        <v>67</v>
      </c>
      <c r="F14" s="8" t="n">
        <v>13</v>
      </c>
      <c r="G14" s="8" t="s">
        <v>252</v>
      </c>
      <c r="H14" s="8" t="n">
        <v>40</v>
      </c>
      <c r="I14" s="8"/>
      <c r="J14" s="8" t="s">
        <v>253</v>
      </c>
    </row>
    <row r="15" customFormat="false" ht="15" hidden="false" customHeight="false" outlineLevel="0" collapsed="false">
      <c r="A15" s="8" t="s">
        <v>97</v>
      </c>
      <c r="B15" s="8" t="s">
        <v>123</v>
      </c>
      <c r="C15" s="8" t="s">
        <v>254</v>
      </c>
      <c r="D15" s="8" t="s">
        <v>103</v>
      </c>
      <c r="E15" s="8" t="s">
        <v>102</v>
      </c>
      <c r="F15" s="8" t="n">
        <v>5</v>
      </c>
      <c r="G15" s="8" t="s">
        <v>252</v>
      </c>
      <c r="H15" s="8" t="n">
        <v>16</v>
      </c>
      <c r="I15" s="8"/>
      <c r="J15" s="8"/>
    </row>
    <row r="16" customFormat="false" ht="15" hidden="false" customHeight="false" outlineLevel="0" collapsed="false">
      <c r="A16" s="8" t="s">
        <v>97</v>
      </c>
      <c r="B16" s="8" t="s">
        <v>125</v>
      </c>
      <c r="C16" s="8" t="s">
        <v>255</v>
      </c>
      <c r="D16" s="8" t="s">
        <v>127</v>
      </c>
      <c r="E16" s="8" t="s">
        <v>102</v>
      </c>
      <c r="F16" s="8" t="n">
        <v>8</v>
      </c>
      <c r="G16" s="8" t="s">
        <v>252</v>
      </c>
      <c r="H16" s="8" t="n">
        <v>24</v>
      </c>
      <c r="I16" s="8"/>
      <c r="J16" s="8"/>
    </row>
    <row r="17" customFormat="false" ht="23.85" hidden="false" customHeight="false" outlineLevel="0" collapsed="false">
      <c r="A17" s="8" t="s">
        <v>97</v>
      </c>
      <c r="B17" s="8" t="s">
        <v>142</v>
      </c>
      <c r="C17" s="8" t="s">
        <v>256</v>
      </c>
      <c r="D17" s="8" t="s">
        <v>144</v>
      </c>
      <c r="E17" s="8" t="s">
        <v>138</v>
      </c>
      <c r="F17" s="8" t="n">
        <v>13</v>
      </c>
      <c r="G17" s="8" t="s">
        <v>252</v>
      </c>
      <c r="H17" s="8" t="n">
        <v>40</v>
      </c>
      <c r="I17" s="8"/>
      <c r="J17" s="8" t="s">
        <v>257</v>
      </c>
    </row>
    <row r="18" customFormat="false" ht="15" hidden="false" customHeight="false" outlineLevel="0" collapsed="false">
      <c r="A18" s="8" t="s">
        <v>97</v>
      </c>
      <c r="B18" s="8" t="s">
        <v>146</v>
      </c>
      <c r="C18" s="8" t="s">
        <v>258</v>
      </c>
      <c r="D18" s="8" t="s">
        <v>139</v>
      </c>
      <c r="E18" s="8" t="s">
        <v>138</v>
      </c>
      <c r="F18" s="8" t="n">
        <v>13</v>
      </c>
      <c r="G18" s="8" t="s">
        <v>252</v>
      </c>
      <c r="H18" s="8" t="n">
        <v>40</v>
      </c>
      <c r="I18" s="8"/>
      <c r="J18" s="8" t="s">
        <v>239</v>
      </c>
    </row>
    <row r="19" customFormat="false" ht="15" hidden="false" customHeight="false" outlineLevel="0" collapsed="false">
      <c r="A19" s="8" t="s">
        <v>97</v>
      </c>
      <c r="B19" s="8" t="s">
        <v>179</v>
      </c>
      <c r="C19" s="8" t="s">
        <v>259</v>
      </c>
      <c r="D19" s="8" t="s">
        <v>91</v>
      </c>
      <c r="E19" s="8" t="s">
        <v>67</v>
      </c>
      <c r="F19" s="8" t="n">
        <v>8</v>
      </c>
      <c r="G19" s="8" t="s">
        <v>252</v>
      </c>
      <c r="H19" s="8" t="n">
        <v>24</v>
      </c>
      <c r="I19" s="8"/>
      <c r="J19" s="8"/>
    </row>
    <row r="20" customFormat="false" ht="15" hidden="false" customHeight="false" outlineLevel="0" collapsed="false">
      <c r="A20" s="8" t="s">
        <v>131</v>
      </c>
      <c r="B20" s="8" t="s">
        <v>128</v>
      </c>
      <c r="C20" s="8" t="s">
        <v>260</v>
      </c>
      <c r="D20" s="8" t="s">
        <v>106</v>
      </c>
      <c r="E20" s="8" t="s">
        <v>102</v>
      </c>
      <c r="F20" s="8" t="n">
        <v>5</v>
      </c>
      <c r="G20" s="8" t="s">
        <v>252</v>
      </c>
      <c r="H20" s="8" t="n">
        <v>0</v>
      </c>
      <c r="I20" s="8"/>
      <c r="J20" s="8" t="s">
        <v>261</v>
      </c>
    </row>
    <row r="21" customFormat="false" ht="15" hidden="false" customHeight="false" outlineLevel="0" collapsed="false">
      <c r="A21" s="8" t="s">
        <v>131</v>
      </c>
      <c r="B21" s="8" t="s">
        <v>133</v>
      </c>
      <c r="C21" s="8" t="s">
        <v>262</v>
      </c>
      <c r="D21" s="8" t="s">
        <v>106</v>
      </c>
      <c r="E21" s="8" t="s">
        <v>102</v>
      </c>
      <c r="F21" s="8" t="n">
        <v>5</v>
      </c>
      <c r="G21" s="8" t="s">
        <v>252</v>
      </c>
      <c r="H21" s="8" t="n">
        <v>0</v>
      </c>
      <c r="I21" s="8"/>
      <c r="J21" s="8" t="s">
        <v>261</v>
      </c>
    </row>
    <row r="22" customFormat="false" ht="15" hidden="false" customHeight="false" outlineLevel="0" collapsed="false">
      <c r="A22" s="8" t="s">
        <v>131</v>
      </c>
      <c r="B22" s="8" t="s">
        <v>149</v>
      </c>
      <c r="C22" s="8" t="s">
        <v>150</v>
      </c>
      <c r="D22" s="8" t="s">
        <v>144</v>
      </c>
      <c r="E22" s="8" t="s">
        <v>138</v>
      </c>
      <c r="F22" s="8" t="n">
        <v>8</v>
      </c>
      <c r="G22" s="8" t="s">
        <v>252</v>
      </c>
      <c r="H22" s="8" t="n">
        <v>0</v>
      </c>
      <c r="I22" s="8"/>
      <c r="J22" s="8" t="s">
        <v>239</v>
      </c>
    </row>
    <row r="23" customFormat="false" ht="15" hidden="false" customHeight="false" outlineLevel="0" collapsed="false">
      <c r="A23" s="8" t="s">
        <v>131</v>
      </c>
      <c r="B23" s="8" t="s">
        <v>164</v>
      </c>
      <c r="C23" s="8" t="s">
        <v>263</v>
      </c>
      <c r="D23" s="8" t="s">
        <v>167</v>
      </c>
      <c r="E23" s="8" t="s">
        <v>138</v>
      </c>
      <c r="F23" s="8" t="n">
        <v>8</v>
      </c>
      <c r="G23" s="8" t="s">
        <v>252</v>
      </c>
      <c r="H23" s="8" t="n">
        <v>0</v>
      </c>
      <c r="I23" s="8"/>
      <c r="J23" s="8"/>
    </row>
    <row r="24" customFormat="false" ht="15" hidden="false" customHeight="false" outlineLevel="0" collapsed="false">
      <c r="A24" s="8" t="s">
        <v>131</v>
      </c>
      <c r="B24" s="8" t="s">
        <v>169</v>
      </c>
      <c r="C24" s="8" t="s">
        <v>264</v>
      </c>
      <c r="D24" s="8" t="s">
        <v>167</v>
      </c>
      <c r="E24" s="8" t="s">
        <v>138</v>
      </c>
      <c r="F24" s="8" t="n">
        <v>5</v>
      </c>
      <c r="G24" s="8" t="s">
        <v>252</v>
      </c>
      <c r="H24" s="8" t="n">
        <v>0</v>
      </c>
      <c r="I24" s="8"/>
      <c r="J24" s="8"/>
    </row>
    <row r="25" customFormat="false" ht="15" hidden="false" customHeight="false" outlineLevel="0" collapsed="false">
      <c r="A25" s="8" t="s">
        <v>131</v>
      </c>
      <c r="B25" s="8" t="s">
        <v>183</v>
      </c>
      <c r="C25" s="8" t="s">
        <v>265</v>
      </c>
      <c r="D25" s="8" t="s">
        <v>91</v>
      </c>
      <c r="E25" s="8" t="s">
        <v>67</v>
      </c>
      <c r="F25" s="8" t="n">
        <v>5</v>
      </c>
      <c r="G25" s="8" t="s">
        <v>252</v>
      </c>
      <c r="H25" s="8" t="n">
        <v>0</v>
      </c>
      <c r="I25" s="8"/>
      <c r="J25" s="8"/>
    </row>
    <row r="26" customFormat="false" ht="15" hidden="false" customHeight="false" outlineLevel="0" collapsed="false">
      <c r="A26" s="8" t="s">
        <v>131</v>
      </c>
      <c r="B26" s="8" t="s">
        <v>185</v>
      </c>
      <c r="C26" s="8" t="s">
        <v>186</v>
      </c>
      <c r="D26" s="8" t="s">
        <v>78</v>
      </c>
      <c r="E26" s="8" t="s">
        <v>67</v>
      </c>
      <c r="F26" s="8" t="n">
        <v>5</v>
      </c>
      <c r="G26" s="8" t="s">
        <v>252</v>
      </c>
      <c r="H26" s="8" t="n">
        <v>0</v>
      </c>
      <c r="I26" s="8"/>
      <c r="J26" s="8"/>
    </row>
    <row r="29" customFormat="false" ht="15" hidden="false" customHeight="false" outlineLevel="0" collapsed="false">
      <c r="A29" s="4" t="s">
        <v>266</v>
      </c>
    </row>
    <row r="30" customFormat="false" ht="15" hidden="false" customHeight="false" outlineLevel="0" collapsed="false">
      <c r="A30" s="4" t="s">
        <v>267</v>
      </c>
      <c r="B30" s="10" t="n">
        <f aca="false">SUMIF(A5:A300,"S-04",F5:F300)</f>
        <v>42</v>
      </c>
    </row>
    <row r="31" customFormat="false" ht="15" hidden="false" customHeight="false" outlineLevel="0" collapsed="false">
      <c r="A31" s="4" t="s">
        <v>268</v>
      </c>
      <c r="B31" s="10" t="n">
        <f aca="false">SUMIFS(F5:F300,A5:A300,"S-04",G5:G300,"Done")</f>
        <v>5</v>
      </c>
    </row>
    <row r="32" customFormat="false" ht="15" hidden="false" customHeight="false" outlineLevel="0" collapsed="false">
      <c r="A32" s="4" t="s">
        <v>269</v>
      </c>
      <c r="B32" s="11" t="n">
        <f aca="false">IFERROR(B31/B30,0)</f>
        <v>0.119047619047619</v>
      </c>
    </row>
    <row r="33" customFormat="false" ht="15" hidden="false" customHeight="false" outlineLevel="0" collapsed="false">
      <c r="A33" s="4" t="s">
        <v>270</v>
      </c>
      <c r="B33" s="10" t="n">
        <f aca="false">SUMIF(A5:A300,"S-04",H5:H300)</f>
        <v>35</v>
      </c>
    </row>
  </sheetData>
  <mergeCells count="3">
    <mergeCell ref="A1:J1"/>
    <mergeCell ref="A2:J2"/>
    <mergeCell ref="A3:J3"/>
  </mergeCells>
  <conditionalFormatting sqref="G5:G300">
    <cfRule type="expression" priority="2" aboveAverage="0" equalAverage="0" bottom="0" percent="0" rank="0" text="" dxfId="0">
      <formula>$G5="Done"</formula>
    </cfRule>
    <cfRule type="expression" priority="3" aboveAverage="0" equalAverage="0" bottom="0" percent="0" rank="0" text="" dxfId="1">
      <formula>$G5="In Test"</formula>
    </cfRule>
    <cfRule type="expression" priority="4" aboveAverage="0" equalAverage="0" bottom="0" percent="0" rank="0" text="" dxfId="5">
      <formula>$G5="In Review"</formula>
    </cfRule>
    <cfRule type="expression" priority="5" aboveAverage="0" equalAverage="0" bottom="0" percent="0" rank="0" text="" dxfId="2">
      <formula>$G5="In Progress"</formula>
    </cfRule>
    <cfRule type="expression" priority="6" aboveAverage="0" equalAverage="0" bottom="0" percent="0" rank="0" text="" dxfId="3">
      <formula>$G5="Blocked"</formula>
    </cfRule>
  </conditionalFormatting>
  <dataValidations count="1">
    <dataValidation allowBlank="true" errorStyle="stop" operator="between" showDropDown="false" showErrorMessage="false" showInputMessage="false" sqref="G5:G300" type="list">
      <formula1>"To Do,In Progress,In Review,In Test,Done,Blocked"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22"/>
  </cols>
  <sheetData>
    <row r="1" customFormat="false" ht="24" hidden="false" customHeight="true" outlineLevel="0" collapsed="false">
      <c r="A1" s="5" t="s">
        <v>271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272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customFormat="false" ht="15" hidden="false" customHeight="false" outlineLevel="0" collapsed="false">
      <c r="A3" s="6" t="s">
        <v>273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customFormat="false" ht="31.5" hidden="false" customHeight="true" outlineLevel="0" collapsed="false">
      <c r="A4" s="7" t="s">
        <v>274</v>
      </c>
      <c r="B4" s="7" t="s">
        <v>53</v>
      </c>
      <c r="C4" s="7" t="s">
        <v>275</v>
      </c>
      <c r="D4" s="7" t="s">
        <v>276</v>
      </c>
      <c r="E4" s="7" t="s">
        <v>277</v>
      </c>
      <c r="F4" s="7" t="s">
        <v>278</v>
      </c>
      <c r="G4" s="7" t="s">
        <v>279</v>
      </c>
      <c r="H4" s="7" t="s">
        <v>280</v>
      </c>
      <c r="I4" s="7" t="s">
        <v>281</v>
      </c>
      <c r="J4" s="7" t="s">
        <v>282</v>
      </c>
      <c r="K4" s="7" t="s">
        <v>63</v>
      </c>
    </row>
    <row r="5" customFormat="false" ht="15" hidden="false" customHeight="false" outlineLevel="0" collapsed="false">
      <c r="A5" s="8" t="s">
        <v>283</v>
      </c>
      <c r="B5" s="8" t="s">
        <v>284</v>
      </c>
      <c r="C5" s="8" t="n">
        <v>8</v>
      </c>
      <c r="D5" s="8" t="n">
        <v>10</v>
      </c>
      <c r="E5" s="8" t="n">
        <v>10</v>
      </c>
      <c r="F5" s="8" t="n">
        <v>0</v>
      </c>
      <c r="G5" s="8" t="n">
        <v>8</v>
      </c>
      <c r="H5" s="8" t="n">
        <f aca="false">C5*(E5-F5)*D5/100-G5</f>
        <v>0</v>
      </c>
      <c r="I5" s="8" t="n">
        <v>8</v>
      </c>
      <c r="J5" s="8" t="n">
        <f aca="false">IFERROR(H5/I5,0)</f>
        <v>0</v>
      </c>
      <c r="K5" s="8" t="s">
        <v>285</v>
      </c>
    </row>
    <row r="6" customFormat="false" ht="15" hidden="false" customHeight="false" outlineLevel="0" collapsed="false">
      <c r="A6" s="8" t="s">
        <v>286</v>
      </c>
      <c r="B6" s="8" t="s">
        <v>284</v>
      </c>
      <c r="C6" s="8" t="n">
        <v>8</v>
      </c>
      <c r="D6" s="8" t="n">
        <v>30</v>
      </c>
      <c r="E6" s="8" t="n">
        <v>10</v>
      </c>
      <c r="F6" s="8" t="n">
        <v>0</v>
      </c>
      <c r="G6" s="8" t="n">
        <v>10</v>
      </c>
      <c r="H6" s="8" t="n">
        <f aca="false">C6*(E6-F6)*D6/100-G6</f>
        <v>14</v>
      </c>
      <c r="I6" s="8" t="n">
        <v>8</v>
      </c>
      <c r="J6" s="8" t="n">
        <f aca="false">IFERROR(H6/I6,0)</f>
        <v>1.75</v>
      </c>
      <c r="K6" s="8" t="s">
        <v>287</v>
      </c>
    </row>
    <row r="7" customFormat="false" ht="15" hidden="false" customHeight="false" outlineLevel="0" collapsed="false">
      <c r="A7" s="8" t="s">
        <v>288</v>
      </c>
      <c r="B7" s="8" t="s">
        <v>67</v>
      </c>
      <c r="C7" s="8" t="n">
        <v>8</v>
      </c>
      <c r="D7" s="8" t="n">
        <v>80</v>
      </c>
      <c r="E7" s="8" t="n">
        <v>10</v>
      </c>
      <c r="F7" s="8" t="n">
        <v>0</v>
      </c>
      <c r="G7" s="8" t="n">
        <v>10</v>
      </c>
      <c r="H7" s="8" t="n">
        <f aca="false">C7*(E7-F7)*D7/100-G7</f>
        <v>54</v>
      </c>
      <c r="I7" s="8" t="n">
        <v>7</v>
      </c>
      <c r="J7" s="8" t="n">
        <f aca="false">IFERROR(H7/I7,0)</f>
        <v>7.71428571428571</v>
      </c>
      <c r="K7" s="8"/>
    </row>
    <row r="8" customFormat="false" ht="15" hidden="false" customHeight="false" outlineLevel="0" collapsed="false">
      <c r="A8" s="8" t="s">
        <v>289</v>
      </c>
      <c r="B8" s="8" t="s">
        <v>102</v>
      </c>
      <c r="C8" s="8" t="n">
        <v>8</v>
      </c>
      <c r="D8" s="8" t="n">
        <v>80</v>
      </c>
      <c r="E8" s="8" t="n">
        <v>10</v>
      </c>
      <c r="F8" s="8" t="n">
        <v>0</v>
      </c>
      <c r="G8" s="8" t="n">
        <v>10</v>
      </c>
      <c r="H8" s="8" t="n">
        <f aca="false">C8*(E8-F8)*D8/100-G8</f>
        <v>54</v>
      </c>
      <c r="I8" s="8" t="n">
        <v>7</v>
      </c>
      <c r="J8" s="8" t="n">
        <f aca="false">IFERROR(H8/I8,0)</f>
        <v>7.71428571428571</v>
      </c>
      <c r="K8" s="8"/>
    </row>
    <row r="9" customFormat="false" ht="15" hidden="false" customHeight="false" outlineLevel="0" collapsed="false">
      <c r="A9" s="8" t="s">
        <v>290</v>
      </c>
      <c r="B9" s="8" t="s">
        <v>138</v>
      </c>
      <c r="C9" s="8" t="n">
        <v>8</v>
      </c>
      <c r="D9" s="8" t="n">
        <v>80</v>
      </c>
      <c r="E9" s="8" t="n">
        <v>10</v>
      </c>
      <c r="F9" s="8" t="n">
        <v>0</v>
      </c>
      <c r="G9" s="8" t="n">
        <v>10</v>
      </c>
      <c r="H9" s="8" t="n">
        <f aca="false">C9*(E9-F9)*D9/100-G9</f>
        <v>54</v>
      </c>
      <c r="I9" s="8" t="n">
        <v>7</v>
      </c>
      <c r="J9" s="8" t="n">
        <f aca="false">IFERROR(H9/I9,0)</f>
        <v>7.71428571428571</v>
      </c>
      <c r="K9" s="8" t="s">
        <v>291</v>
      </c>
    </row>
    <row r="10" customFormat="false" ht="15" hidden="false" customHeight="false" outlineLevel="0" collapsed="false">
      <c r="A10" s="8" t="s">
        <v>292</v>
      </c>
      <c r="B10" s="8" t="s">
        <v>193</v>
      </c>
      <c r="C10" s="8" t="n">
        <v>8</v>
      </c>
      <c r="D10" s="8" t="n">
        <v>80</v>
      </c>
      <c r="E10" s="8" t="n">
        <v>10</v>
      </c>
      <c r="F10" s="8" t="n">
        <v>0</v>
      </c>
      <c r="G10" s="8" t="n">
        <v>10</v>
      </c>
      <c r="H10" s="8" t="n">
        <f aca="false">C10*(E10-F10)*D10/100-G10</f>
        <v>54</v>
      </c>
      <c r="I10" s="8" t="n">
        <v>7</v>
      </c>
      <c r="J10" s="8" t="n">
        <f aca="false">IFERROR(H10/I10,0)</f>
        <v>7.71428571428571</v>
      </c>
      <c r="K10" s="8"/>
    </row>
    <row r="11" customFormat="false" ht="15" hidden="false" customHeight="false" outlineLevel="0" collapsed="false">
      <c r="A11" s="8" t="s">
        <v>293</v>
      </c>
      <c r="B11" s="8" t="s">
        <v>67</v>
      </c>
      <c r="C11" s="8" t="n">
        <v>8</v>
      </c>
      <c r="D11" s="8" t="n">
        <v>90</v>
      </c>
      <c r="E11" s="8" t="n">
        <v>10</v>
      </c>
      <c r="F11" s="8" t="n">
        <v>1</v>
      </c>
      <c r="G11" s="8" t="n">
        <v>6</v>
      </c>
      <c r="H11" s="8" t="n">
        <f aca="false">C11*(E11-F11)*D11/100-G11</f>
        <v>58.8</v>
      </c>
      <c r="I11" s="8" t="n">
        <v>8</v>
      </c>
      <c r="J11" s="8" t="n">
        <f aca="false">IFERROR(H11/I11,0)</f>
        <v>7.35</v>
      </c>
      <c r="K11" s="8"/>
    </row>
    <row r="12" customFormat="false" ht="15" hidden="false" customHeight="false" outlineLevel="0" collapsed="false">
      <c r="A12" s="8" t="s">
        <v>294</v>
      </c>
      <c r="B12" s="8" t="s">
        <v>67</v>
      </c>
      <c r="C12" s="8" t="n">
        <v>8</v>
      </c>
      <c r="D12" s="8" t="n">
        <v>90</v>
      </c>
      <c r="E12" s="8" t="n">
        <v>10</v>
      </c>
      <c r="F12" s="8" t="n">
        <v>0</v>
      </c>
      <c r="G12" s="8" t="n">
        <v>6</v>
      </c>
      <c r="H12" s="8" t="n">
        <f aca="false">C12*(E12-F12)*D12/100-G12</f>
        <v>66</v>
      </c>
      <c r="I12" s="8" t="n">
        <v>8</v>
      </c>
      <c r="J12" s="8" t="n">
        <f aca="false">IFERROR(H12/I12,0)</f>
        <v>8.25</v>
      </c>
      <c r="K12" s="8"/>
    </row>
    <row r="13" customFormat="false" ht="15" hidden="false" customHeight="false" outlineLevel="0" collapsed="false">
      <c r="A13" s="8" t="s">
        <v>295</v>
      </c>
      <c r="B13" s="8" t="s">
        <v>102</v>
      </c>
      <c r="C13" s="8" t="n">
        <v>8</v>
      </c>
      <c r="D13" s="8" t="n">
        <v>90</v>
      </c>
      <c r="E13" s="8" t="n">
        <v>10</v>
      </c>
      <c r="F13" s="8" t="n">
        <v>0</v>
      </c>
      <c r="G13" s="8" t="n">
        <v>6</v>
      </c>
      <c r="H13" s="8" t="n">
        <f aca="false">C13*(E13-F13)*D13/100-G13</f>
        <v>66</v>
      </c>
      <c r="I13" s="8" t="n">
        <v>8</v>
      </c>
      <c r="J13" s="8" t="n">
        <f aca="false">IFERROR(H13/I13,0)</f>
        <v>8.25</v>
      </c>
      <c r="K13" s="8"/>
    </row>
    <row r="14" customFormat="false" ht="15" hidden="false" customHeight="false" outlineLevel="0" collapsed="false">
      <c r="A14" s="8" t="s">
        <v>296</v>
      </c>
      <c r="B14" s="8" t="s">
        <v>102</v>
      </c>
      <c r="C14" s="8" t="n">
        <v>8</v>
      </c>
      <c r="D14" s="8" t="n">
        <v>90</v>
      </c>
      <c r="E14" s="8" t="n">
        <v>10</v>
      </c>
      <c r="F14" s="8" t="n">
        <v>2</v>
      </c>
      <c r="G14" s="8" t="n">
        <v>6</v>
      </c>
      <c r="H14" s="8" t="n">
        <f aca="false">C14*(E14-F14)*D14/100-G14</f>
        <v>51.6</v>
      </c>
      <c r="I14" s="8" t="n">
        <v>8</v>
      </c>
      <c r="J14" s="8" t="n">
        <f aca="false">IFERROR(H14/I14,0)</f>
        <v>6.45</v>
      </c>
      <c r="K14" s="8" t="s">
        <v>297</v>
      </c>
    </row>
    <row r="15" customFormat="false" ht="15" hidden="false" customHeight="false" outlineLevel="0" collapsed="false">
      <c r="A15" s="8" t="s">
        <v>298</v>
      </c>
      <c r="B15" s="8" t="s">
        <v>138</v>
      </c>
      <c r="C15" s="8" t="n">
        <v>8</v>
      </c>
      <c r="D15" s="8" t="n">
        <v>90</v>
      </c>
      <c r="E15" s="8" t="n">
        <v>10</v>
      </c>
      <c r="F15" s="8" t="n">
        <v>0</v>
      </c>
      <c r="G15" s="8" t="n">
        <v>6</v>
      </c>
      <c r="H15" s="8" t="n">
        <f aca="false">C15*(E15-F15)*D15/100-G15</f>
        <v>66</v>
      </c>
      <c r="I15" s="8" t="n">
        <v>8</v>
      </c>
      <c r="J15" s="8" t="n">
        <f aca="false">IFERROR(H15/I15,0)</f>
        <v>8.25</v>
      </c>
      <c r="K15" s="8"/>
    </row>
    <row r="16" customFormat="false" ht="15" hidden="false" customHeight="false" outlineLevel="0" collapsed="false">
      <c r="A16" s="8" t="s">
        <v>299</v>
      </c>
      <c r="B16" s="8" t="s">
        <v>193</v>
      </c>
      <c r="C16" s="8" t="n">
        <v>8</v>
      </c>
      <c r="D16" s="8" t="n">
        <v>90</v>
      </c>
      <c r="E16" s="8" t="n">
        <v>10</v>
      </c>
      <c r="F16" s="8" t="n">
        <v>0</v>
      </c>
      <c r="G16" s="8" t="n">
        <v>6</v>
      </c>
      <c r="H16" s="8" t="n">
        <f aca="false">C16*(E16-F16)*D16/100-G16</f>
        <v>66</v>
      </c>
      <c r="I16" s="8" t="n">
        <v>8</v>
      </c>
      <c r="J16" s="8" t="n">
        <f aca="false">IFERROR(H16/I16,0)</f>
        <v>8.25</v>
      </c>
      <c r="K16" s="8"/>
    </row>
    <row r="17" customFormat="false" ht="15" hidden="false" customHeight="false" outlineLevel="0" collapsed="false">
      <c r="A17" s="8" t="s">
        <v>300</v>
      </c>
      <c r="B17" s="8" t="s">
        <v>67</v>
      </c>
      <c r="C17" s="8" t="n">
        <v>8</v>
      </c>
      <c r="D17" s="8" t="n">
        <v>80</v>
      </c>
      <c r="E17" s="8" t="n">
        <v>10</v>
      </c>
      <c r="F17" s="8" t="n">
        <v>0</v>
      </c>
      <c r="G17" s="8" t="n">
        <v>6</v>
      </c>
      <c r="H17" s="8" t="n">
        <f aca="false">C17*(E17-F17)*D17/100-G17</f>
        <v>58</v>
      </c>
      <c r="I17" s="8" t="n">
        <v>10</v>
      </c>
      <c r="J17" s="8" t="n">
        <f aca="false">IFERROR(H17/I17,0)</f>
        <v>5.8</v>
      </c>
      <c r="K17" s="8" t="s">
        <v>301</v>
      </c>
    </row>
    <row r="18" customFormat="false" ht="15" hidden="false" customHeight="false" outlineLevel="0" collapsed="false">
      <c r="A18" s="8" t="s">
        <v>302</v>
      </c>
      <c r="B18" s="8" t="s">
        <v>102</v>
      </c>
      <c r="C18" s="8" t="n">
        <v>8</v>
      </c>
      <c r="D18" s="8" t="n">
        <v>80</v>
      </c>
      <c r="E18" s="8" t="n">
        <v>10</v>
      </c>
      <c r="F18" s="8" t="n">
        <v>0</v>
      </c>
      <c r="G18" s="8" t="n">
        <v>6</v>
      </c>
      <c r="H18" s="8" t="n">
        <f aca="false">C18*(E18-F18)*D18/100-G18</f>
        <v>58</v>
      </c>
      <c r="I18" s="8" t="n">
        <v>10</v>
      </c>
      <c r="J18" s="8" t="n">
        <f aca="false">IFERROR(H18/I18,0)</f>
        <v>5.8</v>
      </c>
      <c r="K18" s="8" t="s">
        <v>301</v>
      </c>
    </row>
    <row r="19" customFormat="false" ht="15" hidden="false" customHeight="false" outlineLevel="0" collapsed="false">
      <c r="A19" s="8" t="s">
        <v>303</v>
      </c>
      <c r="B19" s="8" t="s">
        <v>138</v>
      </c>
      <c r="C19" s="8" t="n">
        <v>8</v>
      </c>
      <c r="D19" s="8" t="n">
        <v>80</v>
      </c>
      <c r="E19" s="8" t="n">
        <v>10</v>
      </c>
      <c r="F19" s="8" t="n">
        <v>0</v>
      </c>
      <c r="G19" s="8" t="n">
        <v>6</v>
      </c>
      <c r="H19" s="8" t="n">
        <f aca="false">C19*(E19-F19)*D19/100-G19</f>
        <v>58</v>
      </c>
      <c r="I19" s="8" t="n">
        <v>10</v>
      </c>
      <c r="J19" s="8" t="n">
        <f aca="false">IFERROR(H19/I19,0)</f>
        <v>5.8</v>
      </c>
      <c r="K19" s="8" t="s">
        <v>301</v>
      </c>
    </row>
    <row r="20" customFormat="false" ht="15" hidden="false" customHeight="false" outlineLevel="0" collapsed="false">
      <c r="A20" s="8" t="s">
        <v>304</v>
      </c>
      <c r="B20" s="8" t="s">
        <v>193</v>
      </c>
      <c r="C20" s="8" t="n">
        <v>8</v>
      </c>
      <c r="D20" s="8" t="n">
        <v>80</v>
      </c>
      <c r="E20" s="8" t="n">
        <v>10</v>
      </c>
      <c r="F20" s="8" t="n">
        <v>0</v>
      </c>
      <c r="G20" s="8" t="n">
        <v>6</v>
      </c>
      <c r="H20" s="8" t="n">
        <f aca="false">C20*(E20-F20)*D20/100-G20</f>
        <v>58</v>
      </c>
      <c r="I20" s="8" t="n">
        <v>10</v>
      </c>
      <c r="J20" s="8" t="n">
        <f aca="false">IFERROR(H20/I20,0)</f>
        <v>5.8</v>
      </c>
      <c r="K20" s="8" t="s">
        <v>301</v>
      </c>
    </row>
    <row r="21" customFormat="false" ht="15" hidden="false" customHeight="false" outlineLevel="0" collapsed="false">
      <c r="A21" s="8" t="s">
        <v>305</v>
      </c>
      <c r="B21" s="8" t="s">
        <v>102</v>
      </c>
      <c r="C21" s="8" t="n">
        <v>8</v>
      </c>
      <c r="D21" s="8" t="n">
        <v>70</v>
      </c>
      <c r="E21" s="8" t="n">
        <v>10</v>
      </c>
      <c r="F21" s="8" t="n">
        <v>0</v>
      </c>
      <c r="G21" s="8" t="n">
        <v>8</v>
      </c>
      <c r="H21" s="8" t="n">
        <f aca="false">C21*(E21-F21)*D21/100-G21</f>
        <v>48</v>
      </c>
      <c r="I21" s="8" t="n">
        <v>7</v>
      </c>
      <c r="J21" s="8" t="n">
        <f aca="false">IFERROR(H21/I21,0)</f>
        <v>6.85714285714286</v>
      </c>
      <c r="K21" s="8"/>
    </row>
    <row r="22" customFormat="false" ht="15" hidden="false" customHeight="false" outlineLevel="0" collapsed="false">
      <c r="A22" s="8" t="s">
        <v>306</v>
      </c>
      <c r="B22" s="8" t="s">
        <v>102</v>
      </c>
      <c r="C22" s="8" t="n">
        <v>8</v>
      </c>
      <c r="D22" s="8" t="n">
        <v>90</v>
      </c>
      <c r="E22" s="8" t="n">
        <v>10</v>
      </c>
      <c r="F22" s="8" t="n">
        <v>0</v>
      </c>
      <c r="G22" s="8" t="n">
        <v>6</v>
      </c>
      <c r="H22" s="8" t="n">
        <f aca="false">C22*(E22-F22)*D22/100-G22</f>
        <v>66</v>
      </c>
      <c r="I22" s="8" t="n">
        <v>8</v>
      </c>
      <c r="J22" s="8" t="n">
        <f aca="false">IFERROR(H22/I22,0)</f>
        <v>8.25</v>
      </c>
      <c r="K22" s="8"/>
    </row>
    <row r="23" customFormat="false" ht="15" hidden="false" customHeight="false" outlineLevel="0" collapsed="false">
      <c r="A23" s="8" t="s">
        <v>307</v>
      </c>
      <c r="B23" s="8" t="s">
        <v>138</v>
      </c>
      <c r="C23" s="8" t="n">
        <v>8</v>
      </c>
      <c r="D23" s="8" t="n">
        <v>90</v>
      </c>
      <c r="E23" s="8" t="n">
        <v>10</v>
      </c>
      <c r="F23" s="8" t="n">
        <v>0</v>
      </c>
      <c r="G23" s="8" t="n">
        <v>6</v>
      </c>
      <c r="H23" s="8" t="n">
        <f aca="false">C23*(E23-F23)*D23/100-G23</f>
        <v>66</v>
      </c>
      <c r="I23" s="8" t="n">
        <v>8</v>
      </c>
      <c r="J23" s="8" t="n">
        <f aca="false">IFERROR(H23/I23,0)</f>
        <v>8.25</v>
      </c>
      <c r="K23" s="8"/>
    </row>
    <row r="24" customFormat="false" ht="15" hidden="false" customHeight="false" outlineLevel="0" collapsed="false">
      <c r="A24" s="8" t="s">
        <v>308</v>
      </c>
      <c r="B24" s="8" t="s">
        <v>193</v>
      </c>
      <c r="C24" s="8" t="n">
        <v>8</v>
      </c>
      <c r="D24" s="8" t="n">
        <v>90</v>
      </c>
      <c r="E24" s="8" t="n">
        <v>10</v>
      </c>
      <c r="F24" s="8" t="n">
        <v>0</v>
      </c>
      <c r="G24" s="8" t="n">
        <v>6</v>
      </c>
      <c r="H24" s="8" t="n">
        <f aca="false">C24*(E24-F24)*D24/100-G24</f>
        <v>66</v>
      </c>
      <c r="I24" s="8" t="n">
        <v>8</v>
      </c>
      <c r="J24" s="8" t="n">
        <f aca="false">IFERROR(H24/I24,0)</f>
        <v>8.25</v>
      </c>
      <c r="K24" s="8"/>
    </row>
    <row r="25" customFormat="false" ht="15" hidden="false" customHeight="false" outlineLevel="0" collapsed="false">
      <c r="A25" s="8" t="s">
        <v>309</v>
      </c>
      <c r="B25" s="8" t="s">
        <v>284</v>
      </c>
      <c r="C25" s="8" t="n">
        <v>8</v>
      </c>
      <c r="D25" s="8" t="n">
        <v>80</v>
      </c>
      <c r="E25" s="8" t="n">
        <v>10</v>
      </c>
      <c r="F25" s="8" t="n">
        <v>0</v>
      </c>
      <c r="G25" s="8" t="n">
        <v>6</v>
      </c>
      <c r="H25" s="8" t="n">
        <f aca="false">C25*(E25-F25)*D25/100-G25</f>
        <v>58</v>
      </c>
      <c r="I25" s="8" t="n">
        <v>6</v>
      </c>
      <c r="J25" s="8" t="n">
        <f aca="false">IFERROR(H25/I25,0)</f>
        <v>9.66666666666667</v>
      </c>
      <c r="K25" s="8" t="s">
        <v>310</v>
      </c>
    </row>
    <row r="26" customFormat="false" ht="15" hidden="false" customHeight="false" outlineLevel="0" collapsed="false">
      <c r="A26" s="8" t="s">
        <v>311</v>
      </c>
      <c r="B26" s="8" t="s">
        <v>284</v>
      </c>
      <c r="C26" s="8" t="n">
        <v>8</v>
      </c>
      <c r="D26" s="8" t="n">
        <v>80</v>
      </c>
      <c r="E26" s="8" t="n">
        <v>10</v>
      </c>
      <c r="F26" s="8" t="n">
        <v>0</v>
      </c>
      <c r="G26" s="8" t="n">
        <v>6</v>
      </c>
      <c r="H26" s="8" t="n">
        <f aca="false">C26*(E26-F26)*D26/100-G26</f>
        <v>58</v>
      </c>
      <c r="I26" s="8" t="n">
        <v>6</v>
      </c>
      <c r="J26" s="8" t="n">
        <f aca="false">IFERROR(H26/I26,0)</f>
        <v>9.66666666666667</v>
      </c>
      <c r="K26" s="8" t="s">
        <v>312</v>
      </c>
    </row>
    <row r="27" customFormat="false" ht="15" hidden="false" customHeight="false" outlineLevel="0" collapsed="false">
      <c r="A27" s="8" t="s">
        <v>313</v>
      </c>
      <c r="B27" s="8" t="s">
        <v>67</v>
      </c>
      <c r="C27" s="8" t="n">
        <v>8</v>
      </c>
      <c r="D27" s="8" t="n">
        <v>80</v>
      </c>
      <c r="E27" s="8" t="n">
        <v>10</v>
      </c>
      <c r="F27" s="8" t="n">
        <v>0</v>
      </c>
      <c r="G27" s="8" t="n">
        <v>6</v>
      </c>
      <c r="H27" s="8" t="n">
        <f aca="false">C27*(E27-F27)*D27/100-G27</f>
        <v>58</v>
      </c>
      <c r="I27" s="8" t="n">
        <v>7</v>
      </c>
      <c r="J27" s="8" t="n">
        <f aca="false">IFERROR(H27/I27,0)</f>
        <v>8.28571428571429</v>
      </c>
      <c r="K27" s="8"/>
    </row>
    <row r="28" customFormat="false" ht="15" hidden="false" customHeight="false" outlineLevel="0" collapsed="false">
      <c r="A28" s="8" t="s">
        <v>314</v>
      </c>
      <c r="B28" s="8" t="s">
        <v>67</v>
      </c>
      <c r="C28" s="8" t="n">
        <v>8</v>
      </c>
      <c r="D28" s="8" t="n">
        <v>80</v>
      </c>
      <c r="E28" s="8" t="n">
        <v>10</v>
      </c>
      <c r="F28" s="8" t="n">
        <v>0</v>
      </c>
      <c r="G28" s="8" t="n">
        <v>6</v>
      </c>
      <c r="H28" s="8" t="n">
        <f aca="false">C28*(E28-F28)*D28/100-G28</f>
        <v>58</v>
      </c>
      <c r="I28" s="8" t="n">
        <v>7</v>
      </c>
      <c r="J28" s="8" t="n">
        <f aca="false">IFERROR(H28/I28,0)</f>
        <v>8.28571428571429</v>
      </c>
      <c r="K28" s="8"/>
    </row>
    <row r="29" customFormat="false" ht="15" hidden="false" customHeight="false" outlineLevel="0" collapsed="false">
      <c r="A29" s="8" t="s">
        <v>315</v>
      </c>
      <c r="B29" s="8" t="s">
        <v>284</v>
      </c>
      <c r="C29" s="8" t="n">
        <v>8</v>
      </c>
      <c r="D29" s="8" t="n">
        <v>40</v>
      </c>
      <c r="E29" s="8" t="n">
        <v>10</v>
      </c>
      <c r="F29" s="8" t="n">
        <v>0</v>
      </c>
      <c r="G29" s="8" t="n">
        <v>4</v>
      </c>
      <c r="H29" s="8" t="n">
        <f aca="false">C29*(E29-F29)*D29/100-G29</f>
        <v>28</v>
      </c>
      <c r="I29" s="8" t="n">
        <v>8</v>
      </c>
      <c r="J29" s="8" t="n">
        <f aca="false">IFERROR(H29/I29,0)</f>
        <v>3.5</v>
      </c>
      <c r="K29" s="8"/>
    </row>
    <row r="30" customFormat="false" ht="15" hidden="false" customHeight="false" outlineLevel="0" collapsed="false">
      <c r="A30" s="8" t="s">
        <v>316</v>
      </c>
      <c r="B30" s="8" t="s">
        <v>193</v>
      </c>
      <c r="C30" s="8" t="n">
        <v>8</v>
      </c>
      <c r="D30" s="8" t="n">
        <v>60</v>
      </c>
      <c r="E30" s="8" t="n">
        <v>10</v>
      </c>
      <c r="F30" s="8" t="n">
        <v>0</v>
      </c>
      <c r="G30" s="8" t="n">
        <v>6</v>
      </c>
      <c r="H30" s="8" t="n">
        <f aca="false">C30*(E30-F30)*D30/100-G30</f>
        <v>42</v>
      </c>
      <c r="I30" s="8" t="n">
        <v>8</v>
      </c>
      <c r="J30" s="8" t="n">
        <f aca="false">IFERROR(H30/I30,0)</f>
        <v>5.25</v>
      </c>
      <c r="K30" s="8"/>
    </row>
    <row r="31" customFormat="false" ht="15" hidden="false" customHeight="false" outlineLevel="0" collapsed="false">
      <c r="A31" s="8" t="s">
        <v>317</v>
      </c>
      <c r="B31" s="8" t="s">
        <v>193</v>
      </c>
      <c r="C31" s="8" t="n">
        <v>8</v>
      </c>
      <c r="D31" s="8" t="n">
        <v>60</v>
      </c>
      <c r="E31" s="8" t="n">
        <v>10</v>
      </c>
      <c r="F31" s="8" t="n">
        <v>0</v>
      </c>
      <c r="G31" s="8" t="n">
        <v>6</v>
      </c>
      <c r="H31" s="8" t="n">
        <f aca="false">C31*(E31-F31)*D31/100-G31</f>
        <v>42</v>
      </c>
      <c r="I31" s="8" t="n">
        <v>8</v>
      </c>
      <c r="J31" s="8" t="n">
        <f aca="false">IFERROR(H31/I31,0)</f>
        <v>5.25</v>
      </c>
      <c r="K31" s="8"/>
    </row>
    <row r="32" customFormat="false" ht="15" hidden="false" customHeight="false" outlineLevel="0" collapsed="false">
      <c r="A32" s="8" t="s">
        <v>318</v>
      </c>
      <c r="B32" s="8" t="s">
        <v>284</v>
      </c>
      <c r="C32" s="8" t="n">
        <v>8</v>
      </c>
      <c r="D32" s="8" t="n">
        <v>30</v>
      </c>
      <c r="E32" s="8" t="n">
        <v>10</v>
      </c>
      <c r="F32" s="8" t="n">
        <v>0</v>
      </c>
      <c r="G32" s="8" t="n">
        <v>4</v>
      </c>
      <c r="H32" s="8" t="n">
        <f aca="false">C32*(E32-F32)*D32/100-G32</f>
        <v>20</v>
      </c>
      <c r="I32" s="8" t="n">
        <v>8</v>
      </c>
      <c r="J32" s="8" t="n">
        <f aca="false">IFERROR(H32/I32,0)</f>
        <v>2.5</v>
      </c>
      <c r="K32" s="8"/>
    </row>
    <row r="33" customFormat="false" ht="15" hidden="false" customHeight="false" outlineLevel="0" collapsed="false">
      <c r="A33" s="8" t="s">
        <v>319</v>
      </c>
      <c r="B33" s="8" t="s">
        <v>310</v>
      </c>
      <c r="C33" s="8" t="n">
        <v>8</v>
      </c>
      <c r="D33" s="8" t="n">
        <v>90</v>
      </c>
      <c r="E33" s="8" t="n">
        <v>10</v>
      </c>
      <c r="F33" s="8" t="n">
        <v>0</v>
      </c>
      <c r="G33" s="8" t="n">
        <v>6</v>
      </c>
      <c r="H33" s="8" t="n">
        <f aca="false">C33*(E33-F33)*D33/100-G33</f>
        <v>66</v>
      </c>
      <c r="I33" s="8" t="n">
        <v>8</v>
      </c>
      <c r="J33" s="8" t="n">
        <f aca="false">IFERROR(H33/I33,0)</f>
        <v>8.25</v>
      </c>
      <c r="K33" s="8"/>
    </row>
    <row r="34" customFormat="false" ht="15" hidden="false" customHeight="false" outlineLevel="0" collapsed="false">
      <c r="A34" s="8" t="s">
        <v>320</v>
      </c>
      <c r="B34" s="8" t="s">
        <v>312</v>
      </c>
      <c r="C34" s="8" t="n">
        <v>8</v>
      </c>
      <c r="D34" s="8" t="n">
        <v>90</v>
      </c>
      <c r="E34" s="8" t="n">
        <v>10</v>
      </c>
      <c r="F34" s="8" t="n">
        <v>0</v>
      </c>
      <c r="G34" s="8" t="n">
        <v>6</v>
      </c>
      <c r="H34" s="8" t="n">
        <f aca="false">C34*(E34-F34)*D34/100-G34</f>
        <v>66</v>
      </c>
      <c r="I34" s="8" t="n">
        <v>8</v>
      </c>
      <c r="J34" s="8" t="n">
        <f aca="false">IFERROR(H34/I34,0)</f>
        <v>8.25</v>
      </c>
      <c r="K34" s="8"/>
    </row>
    <row r="37" customFormat="false" ht="15" hidden="false" customHeight="false" outlineLevel="0" collapsed="false">
      <c r="A37" s="9" t="s">
        <v>321</v>
      </c>
    </row>
    <row r="38" customFormat="false" ht="15" hidden="false" customHeight="false" outlineLevel="0" collapsed="false">
      <c r="A38" s="4" t="s">
        <v>67</v>
      </c>
      <c r="H38" s="10" t="n">
        <f aca="false">SUMIFS(H5:H34,B5:B34,"Integration &amp; Data*")</f>
        <v>352.8</v>
      </c>
      <c r="J38" s="10" t="n">
        <f aca="false">SUMIFS(J5:J34,B5:B34,"Integration &amp; Data*")</f>
        <v>45.6857142857143</v>
      </c>
    </row>
    <row r="39" customFormat="false" ht="15" hidden="false" customHeight="false" outlineLevel="0" collapsed="false">
      <c r="A39" s="4" t="s">
        <v>102</v>
      </c>
      <c r="H39" s="10" t="n">
        <f aca="false">SUMIFS(H5:H34,B5:B34,"Ops Core*")</f>
        <v>409.6</v>
      </c>
      <c r="J39" s="10" t="n">
        <f aca="false">SUMIFS(J5:J34,B5:B34,"Ops Core*")</f>
        <v>51.5714285714286</v>
      </c>
    </row>
    <row r="40" customFormat="false" ht="15" hidden="false" customHeight="false" outlineLevel="0" collapsed="false">
      <c r="A40" s="4" t="s">
        <v>138</v>
      </c>
      <c r="H40" s="10" t="n">
        <f aca="false">SUMIFS(H5:H34,B5:B34,"Switching Safety*")</f>
        <v>244</v>
      </c>
      <c r="J40" s="10" t="n">
        <f aca="false">SUMIFS(J5:J34,B5:B34,"Switching Safety*")</f>
        <v>30.0142857142857</v>
      </c>
    </row>
    <row r="41" customFormat="false" ht="15" hidden="false" customHeight="false" outlineLevel="0" collapsed="false">
      <c r="A41" s="4" t="s">
        <v>193</v>
      </c>
      <c r="H41" s="10" t="n">
        <f aca="false">SUMIFS(H5:H34,B5:B34,"Platform &amp; Observability*")</f>
        <v>328</v>
      </c>
      <c r="J41" s="10" t="n">
        <f aca="false">SUMIFS(J5:J34,B5:B34,"Platform &amp; Observability*")</f>
        <v>40.5142857142857</v>
      </c>
    </row>
    <row r="42" customFormat="false" ht="15" hidden="false" customHeight="false" outlineLevel="0" collapsed="false">
      <c r="A42" s="4" t="s">
        <v>284</v>
      </c>
      <c r="H42" s="10" t="n">
        <f aca="false">SUMIFS(H5:H34,B5:B34,"Cross-squad*")</f>
        <v>178</v>
      </c>
      <c r="J42" s="10" t="n">
        <f aca="false">SUMIFS(J5:J34,B5:B34,"Cross-squad*")</f>
        <v>27.0833333333333</v>
      </c>
    </row>
    <row r="44" customFormat="false" ht="15" hidden="false" customHeight="false" outlineLevel="0" collapsed="false">
      <c r="A44" s="9" t="s">
        <v>322</v>
      </c>
      <c r="H44" s="4" t="n">
        <f aca="false">SUM(H5:H34)</f>
        <v>1578.4</v>
      </c>
      <c r="J44" s="4" t="n">
        <f aca="false">SUM(J5:J34)</f>
        <v>203.119047619048</v>
      </c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4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28"/>
  </cols>
  <sheetData>
    <row r="1" customFormat="false" ht="24" hidden="false" customHeight="true" outlineLevel="0" collapsed="false">
      <c r="A1" s="5" t="s">
        <v>323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6" t="s">
        <v>324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6" t="s">
        <v>325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31.5" hidden="false" customHeight="true" outlineLevel="0" collapsed="false">
      <c r="A4" s="7" t="s">
        <v>58</v>
      </c>
      <c r="B4" s="7" t="s">
        <v>326</v>
      </c>
      <c r="C4" s="7" t="s">
        <v>327</v>
      </c>
      <c r="D4" s="7" t="s">
        <v>328</v>
      </c>
      <c r="E4" s="7" t="s">
        <v>329</v>
      </c>
      <c r="F4" s="7" t="s">
        <v>330</v>
      </c>
      <c r="G4" s="7" t="s">
        <v>331</v>
      </c>
      <c r="H4" s="7" t="s">
        <v>332</v>
      </c>
      <c r="I4" s="7" t="s">
        <v>333</v>
      </c>
      <c r="J4" s="7" t="s">
        <v>63</v>
      </c>
    </row>
    <row r="5" customFormat="false" ht="23.85" hidden="false" customHeight="false" outlineLevel="0" collapsed="false">
      <c r="A5" s="8" t="s">
        <v>334</v>
      </c>
      <c r="B5" s="12" t="s">
        <v>335</v>
      </c>
      <c r="C5" s="12" t="s">
        <v>336</v>
      </c>
      <c r="D5" s="8" t="n">
        <v>0</v>
      </c>
      <c r="E5" s="8" t="n">
        <v>0</v>
      </c>
      <c r="F5" s="8" t="n">
        <f aca="false">E5-D5</f>
        <v>0</v>
      </c>
      <c r="G5" s="8" t="n">
        <v>0</v>
      </c>
      <c r="H5" s="8" t="n">
        <v>0</v>
      </c>
      <c r="I5" s="8" t="n">
        <v>0</v>
      </c>
      <c r="J5" s="8" t="s">
        <v>337</v>
      </c>
    </row>
    <row r="6" customFormat="false" ht="15" hidden="false" customHeight="false" outlineLevel="0" collapsed="false">
      <c r="A6" s="8" t="s">
        <v>71</v>
      </c>
      <c r="B6" s="12" t="s">
        <v>338</v>
      </c>
      <c r="C6" s="12" t="s">
        <v>339</v>
      </c>
      <c r="D6" s="8" t="n">
        <v>45</v>
      </c>
      <c r="E6" s="8" t="n">
        <v>42</v>
      </c>
      <c r="F6" s="8" t="n">
        <f aca="false">E6-D6</f>
        <v>-3</v>
      </c>
      <c r="G6" s="8" t="n">
        <v>5</v>
      </c>
      <c r="H6" s="8" t="n">
        <v>1</v>
      </c>
      <c r="I6" s="8" t="n">
        <v>0</v>
      </c>
      <c r="J6" s="8" t="s">
        <v>340</v>
      </c>
    </row>
    <row r="7" customFormat="false" ht="23.85" hidden="false" customHeight="false" outlineLevel="0" collapsed="false">
      <c r="A7" s="8" t="s">
        <v>77</v>
      </c>
      <c r="B7" s="12" t="s">
        <v>341</v>
      </c>
      <c r="C7" s="12" t="s">
        <v>342</v>
      </c>
      <c r="D7" s="8" t="n">
        <v>55</v>
      </c>
      <c r="E7" s="8" t="n">
        <v>53</v>
      </c>
      <c r="F7" s="8" t="n">
        <f aca="false">E7-D7</f>
        <v>-2</v>
      </c>
      <c r="G7" s="8" t="n">
        <v>7</v>
      </c>
      <c r="H7" s="8" t="n">
        <v>1</v>
      </c>
      <c r="I7" s="8" t="n">
        <v>1</v>
      </c>
      <c r="J7" s="8" t="s">
        <v>343</v>
      </c>
    </row>
    <row r="8" customFormat="false" ht="15" hidden="false" customHeight="false" outlineLevel="0" collapsed="false">
      <c r="A8" s="8" t="s">
        <v>85</v>
      </c>
      <c r="B8" s="12" t="s">
        <v>344</v>
      </c>
      <c r="C8" s="12" t="s">
        <v>345</v>
      </c>
      <c r="D8" s="8" t="n">
        <v>58</v>
      </c>
      <c r="E8" s="8" t="n">
        <v>55</v>
      </c>
      <c r="F8" s="8" t="n">
        <f aca="false">E8-D8</f>
        <v>-3</v>
      </c>
      <c r="G8" s="8" t="n">
        <v>6</v>
      </c>
      <c r="H8" s="8" t="n">
        <v>2</v>
      </c>
      <c r="I8" s="8" t="n">
        <v>0</v>
      </c>
      <c r="J8" s="8"/>
    </row>
    <row r="9" customFormat="false" ht="15" hidden="false" customHeight="false" outlineLevel="0" collapsed="false">
      <c r="A9" s="8" t="s">
        <v>90</v>
      </c>
      <c r="B9" s="12" t="s">
        <v>346</v>
      </c>
      <c r="C9" s="12" t="s">
        <v>347</v>
      </c>
      <c r="D9" s="8" t="n">
        <v>62</v>
      </c>
      <c r="E9" s="8" t="n">
        <v>0</v>
      </c>
      <c r="F9" s="8" t="n">
        <f aca="false">E9-D9</f>
        <v>-62</v>
      </c>
      <c r="G9" s="8" t="n">
        <v>0</v>
      </c>
      <c r="H9" s="8" t="n">
        <v>0</v>
      </c>
      <c r="I9" s="8" t="n">
        <v>0</v>
      </c>
      <c r="J9" s="8" t="s">
        <v>348</v>
      </c>
    </row>
    <row r="10" customFormat="false" ht="15" hidden="false" customHeight="false" outlineLevel="0" collapsed="false">
      <c r="A10" s="8" t="s">
        <v>97</v>
      </c>
      <c r="B10" s="12" t="s">
        <v>349</v>
      </c>
      <c r="C10" s="12" t="s">
        <v>350</v>
      </c>
      <c r="D10" s="8" t="n">
        <v>64</v>
      </c>
      <c r="E10" s="8" t="n">
        <v>0</v>
      </c>
      <c r="F10" s="8" t="n">
        <f aca="false">E10-D10</f>
        <v>-64</v>
      </c>
      <c r="G10" s="8" t="n">
        <v>0</v>
      </c>
      <c r="H10" s="8" t="n">
        <v>0</v>
      </c>
      <c r="I10" s="8" t="n">
        <v>0</v>
      </c>
      <c r="J10" s="8" t="s">
        <v>351</v>
      </c>
    </row>
    <row r="11" customFormat="false" ht="15" hidden="false" customHeight="false" outlineLevel="0" collapsed="false">
      <c r="A11" s="8" t="s">
        <v>131</v>
      </c>
      <c r="B11" s="12" t="s">
        <v>352</v>
      </c>
      <c r="C11" s="12" t="s">
        <v>353</v>
      </c>
      <c r="D11" s="8" t="n">
        <v>64</v>
      </c>
      <c r="E11" s="8" t="n">
        <v>0</v>
      </c>
      <c r="F11" s="8" t="n">
        <f aca="false">E11-D11</f>
        <v>-64</v>
      </c>
      <c r="G11" s="8" t="n">
        <v>0</v>
      </c>
      <c r="H11" s="8" t="n">
        <v>0</v>
      </c>
      <c r="I11" s="8" t="n">
        <v>0</v>
      </c>
      <c r="J11" s="8" t="s">
        <v>351</v>
      </c>
    </row>
    <row r="12" customFormat="false" ht="15" hidden="false" customHeight="false" outlineLevel="0" collapsed="false">
      <c r="A12" s="8" t="s">
        <v>153</v>
      </c>
      <c r="B12" s="12" t="s">
        <v>354</v>
      </c>
      <c r="C12" s="12" t="s">
        <v>355</v>
      </c>
      <c r="D12" s="8" t="n">
        <v>64</v>
      </c>
      <c r="E12" s="8" t="n">
        <v>0</v>
      </c>
      <c r="F12" s="8" t="n">
        <f aca="false">E12-D12</f>
        <v>-64</v>
      </c>
      <c r="G12" s="8" t="n">
        <v>0</v>
      </c>
      <c r="H12" s="8" t="n">
        <v>0</v>
      </c>
      <c r="I12" s="8" t="n">
        <v>0</v>
      </c>
      <c r="J12" s="8" t="s">
        <v>351</v>
      </c>
    </row>
    <row r="13" customFormat="false" ht="15" hidden="false" customHeight="false" outlineLevel="0" collapsed="false">
      <c r="A13" s="8" t="s">
        <v>162</v>
      </c>
      <c r="B13" s="12" t="s">
        <v>356</v>
      </c>
      <c r="C13" s="12" t="s">
        <v>357</v>
      </c>
      <c r="D13" s="8" t="n">
        <v>64</v>
      </c>
      <c r="E13" s="8" t="n">
        <v>0</v>
      </c>
      <c r="F13" s="8" t="n">
        <f aca="false">E13-D13</f>
        <v>-64</v>
      </c>
      <c r="G13" s="8" t="n">
        <v>0</v>
      </c>
      <c r="H13" s="8" t="n">
        <v>0</v>
      </c>
      <c r="I13" s="8" t="n">
        <v>0</v>
      </c>
      <c r="J13" s="8" t="s">
        <v>351</v>
      </c>
    </row>
    <row r="14" customFormat="false" ht="15" hidden="false" customHeight="false" outlineLevel="0" collapsed="false">
      <c r="A14" s="8" t="s">
        <v>358</v>
      </c>
      <c r="B14" s="12" t="s">
        <v>359</v>
      </c>
      <c r="C14" s="12" t="s">
        <v>360</v>
      </c>
      <c r="D14" s="8" t="n">
        <v>64</v>
      </c>
      <c r="E14" s="8" t="n">
        <v>0</v>
      </c>
      <c r="F14" s="8" t="n">
        <f aca="false">E14-D14</f>
        <v>-64</v>
      </c>
      <c r="G14" s="8" t="n">
        <v>0</v>
      </c>
      <c r="H14" s="8" t="n">
        <v>0</v>
      </c>
      <c r="I14" s="8" t="n">
        <v>0</v>
      </c>
      <c r="J14" s="8" t="s">
        <v>351</v>
      </c>
    </row>
    <row r="15" customFormat="false" ht="15" hidden="false" customHeight="false" outlineLevel="0" collapsed="false">
      <c r="A15" s="8" t="s">
        <v>361</v>
      </c>
      <c r="B15" s="12" t="s">
        <v>362</v>
      </c>
      <c r="C15" s="12" t="s">
        <v>363</v>
      </c>
      <c r="D15" s="8" t="n">
        <v>50</v>
      </c>
      <c r="E15" s="8" t="n">
        <v>0</v>
      </c>
      <c r="F15" s="8" t="n">
        <f aca="false">E15-D15</f>
        <v>-50</v>
      </c>
      <c r="G15" s="8" t="n">
        <v>0</v>
      </c>
      <c r="H15" s="8" t="n">
        <v>0</v>
      </c>
      <c r="I15" s="8" t="n">
        <v>0</v>
      </c>
      <c r="J15" s="8" t="s">
        <v>364</v>
      </c>
    </row>
    <row r="16" customFormat="false" ht="15" hidden="false" customHeight="false" outlineLevel="0" collapsed="false">
      <c r="A16" s="8" t="s">
        <v>365</v>
      </c>
      <c r="B16" s="12" t="s">
        <v>366</v>
      </c>
      <c r="C16" s="12" t="s">
        <v>367</v>
      </c>
      <c r="D16" s="8" t="n">
        <v>64</v>
      </c>
      <c r="E16" s="8" t="n">
        <v>0</v>
      </c>
      <c r="F16" s="8" t="n">
        <f aca="false">E16-D16</f>
        <v>-64</v>
      </c>
      <c r="G16" s="8" t="n">
        <v>0</v>
      </c>
      <c r="H16" s="8" t="n">
        <v>0</v>
      </c>
      <c r="I16" s="8" t="n">
        <v>0</v>
      </c>
      <c r="J16" s="8" t="s">
        <v>351</v>
      </c>
    </row>
    <row r="19" customFormat="false" ht="15" hidden="false" customHeight="false" outlineLevel="0" collapsed="false">
      <c r="A19" s="9" t="s">
        <v>368</v>
      </c>
    </row>
    <row r="20" customFormat="false" ht="15" hidden="false" customHeight="false" outlineLevel="0" collapsed="false">
      <c r="A20" s="4" t="s">
        <v>369</v>
      </c>
      <c r="B20" s="10" t="n">
        <f aca="false">AVERAGEIFS(E5:E16,E5:E16,"&gt;0")</f>
        <v>50</v>
      </c>
    </row>
    <row r="21" customFormat="false" ht="15" hidden="false" customHeight="false" outlineLevel="0" collapsed="false">
      <c r="A21" s="4" t="s">
        <v>370</v>
      </c>
      <c r="B21" s="10" t="n">
        <f aca="false">AVERAGE(E6:E8)</f>
        <v>50</v>
      </c>
    </row>
    <row r="22" customFormat="false" ht="15" hidden="false" customHeight="false" outlineLevel="0" collapsed="false">
      <c r="A22" s="4" t="s">
        <v>371</v>
      </c>
      <c r="B22" s="11" t="n">
        <f aca="false">IFERROR(AVERAGEIFS(E5:E16,E5:E16,"&gt;0")/AVERAGEIFS(D5:D16,E5:E16,"&gt;0"),0)</f>
        <v>0.949367088607595</v>
      </c>
    </row>
    <row r="23" customFormat="false" ht="15" hidden="false" customHeight="false" outlineLevel="0" collapsed="false">
      <c r="A23" s="4" t="s">
        <v>372</v>
      </c>
      <c r="B23" s="10" t="n">
        <f aca="false">SUM(I5:I16)</f>
        <v>1</v>
      </c>
    </row>
    <row r="24" customFormat="false" ht="15" hidden="false" customHeight="false" outlineLevel="0" collapsed="false">
      <c r="A24" s="4" t="s">
        <v>373</v>
      </c>
      <c r="B24" s="10" t="n">
        <f aca="false">IFERROR(SUMIFS(I5:I16,E5:E16,"&gt;0")/COUNTIFS(E5:E16,"&gt;0"),0)</f>
        <v>0.333333333333333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4" hidden="false" customHeight="true" outlineLevel="0" collapsed="false">
      <c r="A1" s="5" t="s">
        <v>374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375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6" t="s">
        <v>376</v>
      </c>
      <c r="B3" s="6"/>
      <c r="C3" s="6"/>
      <c r="D3" s="6"/>
      <c r="E3" s="6"/>
      <c r="F3" s="6"/>
      <c r="G3" s="6"/>
      <c r="H3" s="6"/>
    </row>
    <row r="4" customFormat="false" ht="31.5" hidden="false" customHeight="true" outlineLevel="0" collapsed="false">
      <c r="A4" s="7" t="s">
        <v>58</v>
      </c>
      <c r="B4" s="7" t="s">
        <v>377</v>
      </c>
      <c r="C4" s="7" t="s">
        <v>378</v>
      </c>
      <c r="D4" s="7" t="s">
        <v>379</v>
      </c>
      <c r="E4" s="7" t="s">
        <v>380</v>
      </c>
      <c r="F4" s="7" t="s">
        <v>381</v>
      </c>
      <c r="G4" s="7" t="s">
        <v>57</v>
      </c>
      <c r="H4" s="7" t="s">
        <v>63</v>
      </c>
    </row>
    <row r="5" customFormat="false" ht="15" hidden="false" customHeight="false" outlineLevel="0" collapsed="false">
      <c r="A5" s="8" t="s">
        <v>71</v>
      </c>
      <c r="B5" s="12" t="s">
        <v>339</v>
      </c>
      <c r="C5" s="8" t="s">
        <v>382</v>
      </c>
      <c r="D5" s="8" t="s">
        <v>383</v>
      </c>
      <c r="E5" s="8" t="s">
        <v>384</v>
      </c>
      <c r="F5" s="8" t="s">
        <v>385</v>
      </c>
      <c r="G5" s="8" t="s">
        <v>386</v>
      </c>
      <c r="H5" s="8"/>
    </row>
    <row r="6" customFormat="false" ht="15" hidden="false" customHeight="false" outlineLevel="0" collapsed="false">
      <c r="A6" s="8" t="s">
        <v>71</v>
      </c>
      <c r="B6" s="12" t="s">
        <v>339</v>
      </c>
      <c r="C6" s="8" t="s">
        <v>382</v>
      </c>
      <c r="D6" s="8" t="s">
        <v>387</v>
      </c>
      <c r="E6" s="8" t="s">
        <v>388</v>
      </c>
      <c r="F6" s="8" t="s">
        <v>286</v>
      </c>
      <c r="G6" s="8" t="s">
        <v>386</v>
      </c>
      <c r="H6" s="8"/>
    </row>
    <row r="7" customFormat="false" ht="15" hidden="false" customHeight="false" outlineLevel="0" collapsed="false">
      <c r="A7" s="8" t="s">
        <v>71</v>
      </c>
      <c r="B7" s="12" t="s">
        <v>339</v>
      </c>
      <c r="C7" s="8" t="s">
        <v>389</v>
      </c>
      <c r="D7" s="8" t="s">
        <v>390</v>
      </c>
      <c r="E7" s="8" t="s">
        <v>391</v>
      </c>
      <c r="F7" s="8" t="s">
        <v>392</v>
      </c>
      <c r="G7" s="8" t="s">
        <v>393</v>
      </c>
      <c r="H7" s="8" t="s">
        <v>394</v>
      </c>
    </row>
    <row r="8" customFormat="false" ht="15" hidden="false" customHeight="false" outlineLevel="0" collapsed="false">
      <c r="A8" s="8" t="s">
        <v>71</v>
      </c>
      <c r="B8" s="12" t="s">
        <v>339</v>
      </c>
      <c r="C8" s="8" t="s">
        <v>395</v>
      </c>
      <c r="D8" s="8" t="s">
        <v>396</v>
      </c>
      <c r="E8" s="8" t="s">
        <v>397</v>
      </c>
      <c r="F8" s="8" t="s">
        <v>309</v>
      </c>
      <c r="G8" s="8" t="s">
        <v>386</v>
      </c>
      <c r="H8" s="8"/>
    </row>
    <row r="9" customFormat="false" ht="15" hidden="false" customHeight="false" outlineLevel="0" collapsed="false">
      <c r="A9" s="8" t="s">
        <v>77</v>
      </c>
      <c r="B9" s="12" t="s">
        <v>342</v>
      </c>
      <c r="C9" s="8" t="s">
        <v>382</v>
      </c>
      <c r="D9" s="8" t="s">
        <v>398</v>
      </c>
      <c r="E9" s="8" t="s">
        <v>384</v>
      </c>
      <c r="F9" s="8" t="s">
        <v>385</v>
      </c>
      <c r="G9" s="8" t="s">
        <v>386</v>
      </c>
      <c r="H9" s="8"/>
    </row>
    <row r="10" customFormat="false" ht="23.85" hidden="false" customHeight="false" outlineLevel="0" collapsed="false">
      <c r="A10" s="8" t="s">
        <v>77</v>
      </c>
      <c r="B10" s="12" t="s">
        <v>342</v>
      </c>
      <c r="C10" s="8" t="s">
        <v>389</v>
      </c>
      <c r="D10" s="8" t="s">
        <v>399</v>
      </c>
      <c r="E10" s="8" t="s">
        <v>400</v>
      </c>
      <c r="F10" s="8" t="s">
        <v>392</v>
      </c>
      <c r="G10" s="8" t="s">
        <v>393</v>
      </c>
      <c r="H10" s="8" t="s">
        <v>401</v>
      </c>
    </row>
    <row r="11" customFormat="false" ht="23.85" hidden="false" customHeight="false" outlineLevel="0" collapsed="false">
      <c r="A11" s="8" t="s">
        <v>77</v>
      </c>
      <c r="B11" s="12" t="s">
        <v>342</v>
      </c>
      <c r="C11" s="8" t="s">
        <v>395</v>
      </c>
      <c r="D11" s="8" t="s">
        <v>402</v>
      </c>
      <c r="E11" s="8" t="s">
        <v>403</v>
      </c>
      <c r="F11" s="8" t="s">
        <v>318</v>
      </c>
      <c r="G11" s="8" t="s">
        <v>393</v>
      </c>
      <c r="H11" s="8" t="s">
        <v>404</v>
      </c>
    </row>
    <row r="12" customFormat="false" ht="15" hidden="false" customHeight="false" outlineLevel="0" collapsed="false">
      <c r="A12" s="8" t="s">
        <v>77</v>
      </c>
      <c r="B12" s="12" t="s">
        <v>342</v>
      </c>
      <c r="C12" s="8" t="s">
        <v>382</v>
      </c>
      <c r="D12" s="8" t="s">
        <v>405</v>
      </c>
      <c r="E12" s="8" t="s">
        <v>384</v>
      </c>
      <c r="F12" s="8" t="s">
        <v>385</v>
      </c>
      <c r="G12" s="8" t="s">
        <v>386</v>
      </c>
      <c r="H12" s="8"/>
    </row>
    <row r="13" customFormat="false" ht="23.85" hidden="false" customHeight="false" outlineLevel="0" collapsed="false">
      <c r="A13" s="8" t="s">
        <v>85</v>
      </c>
      <c r="B13" s="12" t="s">
        <v>345</v>
      </c>
      <c r="C13" s="8" t="s">
        <v>389</v>
      </c>
      <c r="D13" s="8" t="s">
        <v>406</v>
      </c>
      <c r="E13" s="8" t="s">
        <v>384</v>
      </c>
      <c r="F13" s="8" t="s">
        <v>385</v>
      </c>
      <c r="G13" s="8" t="s">
        <v>393</v>
      </c>
      <c r="H13" s="8" t="s">
        <v>407</v>
      </c>
    </row>
    <row r="14" customFormat="false" ht="15" hidden="false" customHeight="false" outlineLevel="0" collapsed="false">
      <c r="A14" s="8" t="s">
        <v>85</v>
      </c>
      <c r="B14" s="12" t="s">
        <v>345</v>
      </c>
      <c r="C14" s="8" t="s">
        <v>395</v>
      </c>
      <c r="D14" s="8" t="s">
        <v>408</v>
      </c>
      <c r="E14" s="8" t="s">
        <v>409</v>
      </c>
      <c r="F14" s="8" t="s">
        <v>311</v>
      </c>
      <c r="G14" s="8" t="s">
        <v>235</v>
      </c>
      <c r="H14" s="8"/>
    </row>
    <row r="15" customFormat="false" ht="15" hidden="false" customHeight="false" outlineLevel="0" collapsed="false">
      <c r="A15" s="8" t="s">
        <v>85</v>
      </c>
      <c r="B15" s="12" t="s">
        <v>345</v>
      </c>
      <c r="C15" s="8" t="s">
        <v>382</v>
      </c>
      <c r="D15" s="8" t="s">
        <v>410</v>
      </c>
      <c r="E15" s="8" t="s">
        <v>411</v>
      </c>
      <c r="F15" s="8" t="s">
        <v>286</v>
      </c>
      <c r="G15" s="8" t="s">
        <v>386</v>
      </c>
      <c r="H15" s="8"/>
    </row>
    <row r="16" customFormat="false" ht="15" hidden="false" customHeight="false" outlineLevel="0" collapsed="false">
      <c r="A16" s="8" t="s">
        <v>85</v>
      </c>
      <c r="B16" s="12" t="s">
        <v>345</v>
      </c>
      <c r="C16" s="8" t="s">
        <v>395</v>
      </c>
      <c r="D16" s="8" t="s">
        <v>412</v>
      </c>
      <c r="E16" s="8" t="s">
        <v>413</v>
      </c>
      <c r="F16" s="8" t="s">
        <v>286</v>
      </c>
      <c r="G16" s="8" t="s">
        <v>386</v>
      </c>
      <c r="H16" s="8" t="s">
        <v>414</v>
      </c>
    </row>
    <row r="17" customFormat="false" ht="15" hidden="false" customHeight="false" outlineLevel="0" collapsed="false">
      <c r="A17" s="8" t="s">
        <v>85</v>
      </c>
      <c r="B17" s="12" t="s">
        <v>345</v>
      </c>
      <c r="C17" s="8" t="s">
        <v>389</v>
      </c>
      <c r="D17" s="8" t="s">
        <v>415</v>
      </c>
      <c r="E17" s="8" t="s">
        <v>391</v>
      </c>
      <c r="F17" s="8" t="s">
        <v>416</v>
      </c>
      <c r="G17" s="8" t="s">
        <v>393</v>
      </c>
      <c r="H17" s="8" t="s">
        <v>417</v>
      </c>
    </row>
  </sheetData>
  <mergeCells count="3">
    <mergeCell ref="A1:H1"/>
    <mergeCell ref="A2:H2"/>
    <mergeCell ref="A3:H3"/>
  </mergeCells>
  <conditionalFormatting sqref="C5:C300">
    <cfRule type="expression" priority="2" aboveAverage="0" equalAverage="0" bottom="0" percent="0" rank="0" text="" dxfId="0">
      <formula>$C5="Keep"</formula>
    </cfRule>
    <cfRule type="expression" priority="3" aboveAverage="0" equalAverage="0" bottom="0" percent="0" rank="0" text="" dxfId="3">
      <formula>$C5="Stop"</formula>
    </cfRule>
    <cfRule type="expression" priority="4" aboveAverage="0" equalAverage="0" bottom="0" percent="0" rank="0" text="" dxfId="2">
      <formula>$C5="Start"</formula>
    </cfRule>
  </conditionalFormatting>
  <dataValidations count="2">
    <dataValidation allowBlank="true" errorStyle="stop" operator="between" showDropDown="false" showErrorMessage="false" showInputMessage="false" sqref="C5:C300" type="list">
      <formula1>"Keep,Stop,Start,Action,Risk"</formula1>
      <formula2>0</formula2>
    </dataValidation>
    <dataValidation allowBlank="true" errorStyle="stop" operator="between" showDropDown="false" showErrorMessage="false" showInputMessage="false" sqref="G5:G300" type="list">
      <formula1>"Proposed,In Progress,Ongoing,Closed,Dropped"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24" hidden="false" customHeight="true" outlineLevel="0" collapsed="false">
      <c r="A1" s="5" t="s">
        <v>418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6" t="s">
        <v>419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6" t="s">
        <v>420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31.5" hidden="false" customHeight="true" outlineLevel="0" collapsed="false">
      <c r="A4" s="7" t="s">
        <v>421</v>
      </c>
      <c r="B4" s="7" t="s">
        <v>422</v>
      </c>
      <c r="C4" s="7" t="s">
        <v>423</v>
      </c>
      <c r="D4" s="7" t="s">
        <v>424</v>
      </c>
      <c r="E4" s="7" t="s">
        <v>425</v>
      </c>
      <c r="F4" s="7" t="s">
        <v>426</v>
      </c>
      <c r="G4" s="7" t="s">
        <v>427</v>
      </c>
      <c r="H4" s="7" t="s">
        <v>57</v>
      </c>
      <c r="I4" s="7" t="s">
        <v>428</v>
      </c>
      <c r="J4" s="7" t="s">
        <v>63</v>
      </c>
    </row>
    <row r="5" customFormat="false" ht="23.85" hidden="false" customHeight="false" outlineLevel="0" collapsed="false">
      <c r="A5" s="8" t="s">
        <v>429</v>
      </c>
      <c r="B5" s="12" t="s">
        <v>430</v>
      </c>
      <c r="C5" s="8" t="s">
        <v>431</v>
      </c>
      <c r="D5" s="8" t="s">
        <v>432</v>
      </c>
      <c r="E5" s="8" t="s">
        <v>433</v>
      </c>
      <c r="F5" s="8" t="s">
        <v>64</v>
      </c>
      <c r="G5" s="8" t="s">
        <v>318</v>
      </c>
      <c r="H5" s="8" t="s">
        <v>393</v>
      </c>
      <c r="I5" s="12" t="s">
        <v>434</v>
      </c>
      <c r="J5" s="8" t="s">
        <v>435</v>
      </c>
    </row>
    <row r="6" customFormat="false" ht="23.85" hidden="false" customHeight="false" outlineLevel="0" collapsed="false">
      <c r="A6" s="8" t="s">
        <v>436</v>
      </c>
      <c r="B6" s="12" t="s">
        <v>437</v>
      </c>
      <c r="C6" s="8" t="s">
        <v>438</v>
      </c>
      <c r="D6" s="8" t="s">
        <v>432</v>
      </c>
      <c r="E6" s="8" t="s">
        <v>439</v>
      </c>
      <c r="F6" s="8" t="s">
        <v>440</v>
      </c>
      <c r="G6" s="8" t="s">
        <v>441</v>
      </c>
      <c r="H6" s="8" t="s">
        <v>393</v>
      </c>
      <c r="I6" s="12" t="s">
        <v>442</v>
      </c>
      <c r="J6" s="8" t="s">
        <v>443</v>
      </c>
    </row>
    <row r="7" customFormat="false" ht="23.85" hidden="false" customHeight="false" outlineLevel="0" collapsed="false">
      <c r="A7" s="8" t="s">
        <v>444</v>
      </c>
      <c r="B7" s="12" t="s">
        <v>445</v>
      </c>
      <c r="C7" s="8" t="s">
        <v>446</v>
      </c>
      <c r="D7" s="8" t="s">
        <v>447</v>
      </c>
      <c r="E7" s="8" t="s">
        <v>439</v>
      </c>
      <c r="F7" s="8" t="s">
        <v>448</v>
      </c>
      <c r="G7" s="8" t="s">
        <v>449</v>
      </c>
      <c r="H7" s="8" t="s">
        <v>393</v>
      </c>
      <c r="I7" s="12" t="s">
        <v>450</v>
      </c>
      <c r="J7" s="8" t="s">
        <v>451</v>
      </c>
    </row>
    <row r="8" customFormat="false" ht="23.85" hidden="false" customHeight="false" outlineLevel="0" collapsed="false">
      <c r="A8" s="8" t="s">
        <v>452</v>
      </c>
      <c r="B8" s="12" t="s">
        <v>453</v>
      </c>
      <c r="C8" s="8" t="s">
        <v>454</v>
      </c>
      <c r="D8" s="8" t="s">
        <v>447</v>
      </c>
      <c r="E8" s="8" t="s">
        <v>439</v>
      </c>
      <c r="F8" s="8" t="s">
        <v>82</v>
      </c>
      <c r="G8" s="8" t="s">
        <v>316</v>
      </c>
      <c r="H8" s="8" t="s">
        <v>393</v>
      </c>
      <c r="I8" s="12" t="s">
        <v>455</v>
      </c>
      <c r="J8" s="8" t="s">
        <v>456</v>
      </c>
    </row>
    <row r="9" customFormat="false" ht="23.85" hidden="false" customHeight="false" outlineLevel="0" collapsed="false">
      <c r="A9" s="8" t="s">
        <v>457</v>
      </c>
      <c r="B9" s="12" t="s">
        <v>458</v>
      </c>
      <c r="C9" s="8" t="s">
        <v>459</v>
      </c>
      <c r="D9" s="8" t="s">
        <v>432</v>
      </c>
      <c r="E9" s="8" t="s">
        <v>439</v>
      </c>
      <c r="F9" s="8" t="s">
        <v>460</v>
      </c>
      <c r="G9" s="8" t="s">
        <v>441</v>
      </c>
      <c r="H9" s="8" t="s">
        <v>461</v>
      </c>
      <c r="I9" s="12"/>
      <c r="J9" s="8" t="s">
        <v>462</v>
      </c>
    </row>
    <row r="10" customFormat="false" ht="23.85" hidden="false" customHeight="false" outlineLevel="0" collapsed="false">
      <c r="A10" s="8" t="s">
        <v>463</v>
      </c>
      <c r="B10" s="12" t="s">
        <v>464</v>
      </c>
      <c r="C10" s="8" t="s">
        <v>465</v>
      </c>
      <c r="D10" s="8" t="s">
        <v>447</v>
      </c>
      <c r="E10" s="8" t="s">
        <v>439</v>
      </c>
      <c r="F10" s="8" t="s">
        <v>466</v>
      </c>
      <c r="G10" s="8" t="s">
        <v>467</v>
      </c>
      <c r="H10" s="8" t="s">
        <v>461</v>
      </c>
      <c r="I10" s="12"/>
      <c r="J10" s="8" t="s">
        <v>468</v>
      </c>
    </row>
    <row r="11" customFormat="false" ht="23.85" hidden="false" customHeight="false" outlineLevel="0" collapsed="false">
      <c r="A11" s="8" t="s">
        <v>469</v>
      </c>
      <c r="B11" s="12" t="s">
        <v>470</v>
      </c>
      <c r="C11" s="8" t="s">
        <v>471</v>
      </c>
      <c r="D11" s="8" t="s">
        <v>432</v>
      </c>
      <c r="E11" s="8" t="s">
        <v>472</v>
      </c>
      <c r="F11" s="8" t="s">
        <v>179</v>
      </c>
      <c r="G11" s="8" t="s">
        <v>441</v>
      </c>
      <c r="H11" s="8" t="s">
        <v>461</v>
      </c>
      <c r="I11" s="12"/>
      <c r="J11" s="8" t="s">
        <v>473</v>
      </c>
    </row>
    <row r="12" customFormat="false" ht="15" hidden="false" customHeight="false" outlineLevel="0" collapsed="false">
      <c r="A12" s="8" t="s">
        <v>474</v>
      </c>
      <c r="B12" s="12" t="s">
        <v>475</v>
      </c>
      <c r="C12" s="8" t="s">
        <v>476</v>
      </c>
      <c r="D12" s="8" t="s">
        <v>447</v>
      </c>
      <c r="E12" s="8" t="s">
        <v>472</v>
      </c>
      <c r="F12" s="8" t="s">
        <v>477</v>
      </c>
      <c r="G12" s="8" t="s">
        <v>467</v>
      </c>
      <c r="H12" s="8" t="s">
        <v>461</v>
      </c>
      <c r="I12" s="12"/>
      <c r="J12" s="8" t="s">
        <v>478</v>
      </c>
    </row>
    <row r="13" customFormat="false" ht="23.85" hidden="false" customHeight="false" outlineLevel="0" collapsed="false">
      <c r="A13" s="8" t="s">
        <v>479</v>
      </c>
      <c r="B13" s="12" t="s">
        <v>480</v>
      </c>
      <c r="C13" s="8" t="s">
        <v>481</v>
      </c>
      <c r="D13" s="8" t="s">
        <v>447</v>
      </c>
      <c r="E13" s="8" t="s">
        <v>472</v>
      </c>
      <c r="F13" s="8" t="s">
        <v>482</v>
      </c>
      <c r="G13" s="8" t="s">
        <v>317</v>
      </c>
      <c r="H13" s="8" t="s">
        <v>461</v>
      </c>
      <c r="I13" s="12"/>
      <c r="J13" s="8"/>
    </row>
    <row r="14" customFormat="false" ht="23.85" hidden="false" customHeight="false" outlineLevel="0" collapsed="false">
      <c r="A14" s="8" t="s">
        <v>483</v>
      </c>
      <c r="B14" s="12" t="s">
        <v>484</v>
      </c>
      <c r="C14" s="8" t="s">
        <v>485</v>
      </c>
      <c r="D14" s="8" t="s">
        <v>447</v>
      </c>
      <c r="E14" s="8" t="s">
        <v>439</v>
      </c>
      <c r="F14" s="8" t="s">
        <v>135</v>
      </c>
      <c r="G14" s="8" t="s">
        <v>486</v>
      </c>
      <c r="H14" s="8" t="s">
        <v>461</v>
      </c>
      <c r="I14" s="12"/>
      <c r="J14" s="8" t="s">
        <v>487</v>
      </c>
    </row>
  </sheetData>
  <mergeCells count="3">
    <mergeCell ref="A1:J1"/>
    <mergeCell ref="A2:J2"/>
    <mergeCell ref="A3:J3"/>
  </mergeCells>
  <conditionalFormatting sqref="H5:H300">
    <cfRule type="expression" priority="2" aboveAverage="0" equalAverage="0" bottom="0" percent="0" rank="0" text="" dxfId="0">
      <formula>$H5="Closed"</formula>
    </cfRule>
    <cfRule type="expression" priority="3" aboveAverage="0" equalAverage="0" bottom="0" percent="0" rank="0" text="" dxfId="2">
      <formula>$H5="Open"</formula>
    </cfRule>
    <cfRule type="expression" priority="4" aboveAverage="0" equalAverage="0" bottom="0" percent="0" rank="0" text="" dxfId="3">
      <formula>$H5="Escalated"</formula>
    </cfRule>
  </conditionalFormatting>
  <conditionalFormatting sqref="E5:E300">
    <cfRule type="expression" priority="5" aboveAverage="0" equalAverage="0" bottom="0" percent="0" rank="0" text="" dxfId="3">
      <formula>$E5="High"</formula>
    </cfRule>
  </conditionalFormatting>
  <dataValidations count="3">
    <dataValidation allowBlank="true" errorStyle="stop" operator="between" showDropDown="false" showErrorMessage="false" showInputMessage="false" sqref="D5:D300" type="list">
      <formula1>"Internal,External,Process,Technical,People,Safety,Compliance"</formula1>
      <formula2>0</formula2>
    </dataValidation>
    <dataValidation allowBlank="true" errorStyle="stop" operator="between" showDropDown="false" showErrorMessage="false" showInputMessage="false" sqref="E5:E300" type="list">
      <formula1>"High,Medium,Low"</formula1>
      <formula2>0</formula2>
    </dataValidation>
    <dataValidation allowBlank="true" errorStyle="stop" operator="between" showDropDown="false" showErrorMessage="false" showInputMessage="false" sqref="H5:H300" type="list">
      <formula1>"Open,Escalated,Closed,Accepted"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24" hidden="false" customHeight="true" outlineLevel="0" collapsed="false">
      <c r="A1" s="5" t="s">
        <v>488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6" t="s">
        <v>489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6" t="s">
        <v>490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31.5" hidden="false" customHeight="true" outlineLevel="0" collapsed="false">
      <c r="A4" s="7" t="s">
        <v>491</v>
      </c>
      <c r="B4" s="7" t="s">
        <v>492</v>
      </c>
      <c r="C4" s="7" t="s">
        <v>1</v>
      </c>
      <c r="D4" s="7" t="s">
        <v>378</v>
      </c>
      <c r="E4" s="7" t="s">
        <v>493</v>
      </c>
      <c r="F4" s="7" t="s">
        <v>427</v>
      </c>
      <c r="G4" s="7" t="s">
        <v>494</v>
      </c>
      <c r="H4" s="7" t="s">
        <v>495</v>
      </c>
      <c r="I4" s="7" t="s">
        <v>57</v>
      </c>
      <c r="J4" s="7" t="s">
        <v>63</v>
      </c>
    </row>
    <row r="5" customFormat="false" ht="23.85" hidden="false" customHeight="false" outlineLevel="0" collapsed="false">
      <c r="A5" s="8" t="s">
        <v>496</v>
      </c>
      <c r="B5" s="8" t="s">
        <v>497</v>
      </c>
      <c r="C5" s="8" t="s">
        <v>498</v>
      </c>
      <c r="D5" s="8" t="s">
        <v>499</v>
      </c>
      <c r="E5" s="8" t="s">
        <v>500</v>
      </c>
      <c r="F5" s="8" t="s">
        <v>501</v>
      </c>
      <c r="G5" s="12" t="s">
        <v>502</v>
      </c>
      <c r="H5" s="8" t="s">
        <v>503</v>
      </c>
      <c r="I5" s="8" t="s">
        <v>504</v>
      </c>
      <c r="J5" s="8" t="s">
        <v>505</v>
      </c>
    </row>
    <row r="6" customFormat="false" ht="23.85" hidden="false" customHeight="false" outlineLevel="0" collapsed="false">
      <c r="A6" s="8" t="s">
        <v>506</v>
      </c>
      <c r="B6" s="8" t="s">
        <v>507</v>
      </c>
      <c r="C6" s="8" t="s">
        <v>508</v>
      </c>
      <c r="D6" s="8" t="s">
        <v>499</v>
      </c>
      <c r="E6" s="8" t="s">
        <v>500</v>
      </c>
      <c r="F6" s="8" t="s">
        <v>501</v>
      </c>
      <c r="G6" s="12" t="s">
        <v>450</v>
      </c>
      <c r="H6" s="8" t="s">
        <v>509</v>
      </c>
      <c r="I6" s="8" t="s">
        <v>504</v>
      </c>
      <c r="J6" s="8"/>
    </row>
    <row r="7" customFormat="false" ht="15" hidden="false" customHeight="false" outlineLevel="0" collapsed="false">
      <c r="A7" s="8" t="s">
        <v>510</v>
      </c>
      <c r="B7" s="8" t="s">
        <v>511</v>
      </c>
      <c r="C7" s="8" t="s">
        <v>512</v>
      </c>
      <c r="D7" s="8" t="s">
        <v>513</v>
      </c>
      <c r="E7" s="8" t="s">
        <v>500</v>
      </c>
      <c r="F7" s="8" t="s">
        <v>501</v>
      </c>
      <c r="G7" s="12" t="s">
        <v>514</v>
      </c>
      <c r="H7" s="8" t="s">
        <v>515</v>
      </c>
      <c r="I7" s="8" t="s">
        <v>516</v>
      </c>
      <c r="J7" s="8" t="s">
        <v>517</v>
      </c>
    </row>
    <row r="8" customFormat="false" ht="15" hidden="false" customHeight="false" outlineLevel="0" collapsed="false">
      <c r="A8" s="8" t="s">
        <v>518</v>
      </c>
      <c r="B8" s="8" t="s">
        <v>519</v>
      </c>
      <c r="C8" s="8" t="s">
        <v>520</v>
      </c>
      <c r="D8" s="8" t="s">
        <v>513</v>
      </c>
      <c r="E8" s="8" t="s">
        <v>500</v>
      </c>
      <c r="F8" s="8" t="s">
        <v>501</v>
      </c>
      <c r="G8" s="12" t="s">
        <v>514</v>
      </c>
      <c r="H8" s="8" t="s">
        <v>516</v>
      </c>
      <c r="I8" s="8" t="s">
        <v>516</v>
      </c>
      <c r="J8" s="8" t="s">
        <v>517</v>
      </c>
    </row>
    <row r="9" customFormat="false" ht="23.85" hidden="false" customHeight="false" outlineLevel="0" collapsed="false">
      <c r="A9" s="8" t="s">
        <v>521</v>
      </c>
      <c r="B9" s="8" t="s">
        <v>522</v>
      </c>
      <c r="C9" s="8" t="s">
        <v>523</v>
      </c>
      <c r="D9" s="8" t="s">
        <v>499</v>
      </c>
      <c r="E9" s="8" t="s">
        <v>500</v>
      </c>
      <c r="F9" s="8" t="s">
        <v>524</v>
      </c>
      <c r="G9" s="12" t="s">
        <v>455</v>
      </c>
      <c r="H9" s="8" t="s">
        <v>509</v>
      </c>
      <c r="I9" s="8" t="s">
        <v>504</v>
      </c>
      <c r="J9" s="8"/>
    </row>
    <row r="10" customFormat="false" ht="15" hidden="false" customHeight="false" outlineLevel="0" collapsed="false">
      <c r="A10" s="8" t="s">
        <v>525</v>
      </c>
      <c r="B10" s="8" t="s">
        <v>526</v>
      </c>
      <c r="C10" s="8" t="s">
        <v>527</v>
      </c>
      <c r="D10" s="8" t="s">
        <v>499</v>
      </c>
      <c r="E10" s="8" t="s">
        <v>500</v>
      </c>
      <c r="F10" s="8" t="s">
        <v>524</v>
      </c>
      <c r="G10" s="12" t="s">
        <v>470</v>
      </c>
      <c r="H10" s="8" t="s">
        <v>528</v>
      </c>
      <c r="I10" s="8" t="s">
        <v>504</v>
      </c>
      <c r="J10" s="8"/>
    </row>
    <row r="11" customFormat="false" ht="15" hidden="false" customHeight="false" outlineLevel="0" collapsed="false">
      <c r="A11" s="8" t="s">
        <v>529</v>
      </c>
      <c r="B11" s="8" t="s">
        <v>530</v>
      </c>
      <c r="C11" s="8" t="s">
        <v>531</v>
      </c>
      <c r="D11" s="8" t="s">
        <v>532</v>
      </c>
      <c r="E11" s="8" t="s">
        <v>500</v>
      </c>
      <c r="F11" s="8" t="s">
        <v>533</v>
      </c>
      <c r="G11" s="12" t="s">
        <v>345</v>
      </c>
      <c r="H11" s="8" t="s">
        <v>534</v>
      </c>
      <c r="I11" s="8" t="s">
        <v>504</v>
      </c>
      <c r="J11" s="8"/>
    </row>
    <row r="12" customFormat="false" ht="15" hidden="false" customHeight="false" outlineLevel="0" collapsed="false">
      <c r="A12" s="8" t="s">
        <v>535</v>
      </c>
      <c r="B12" s="8" t="s">
        <v>536</v>
      </c>
      <c r="C12" s="8" t="s">
        <v>537</v>
      </c>
      <c r="D12" s="8" t="s">
        <v>532</v>
      </c>
      <c r="E12" s="8" t="s">
        <v>500</v>
      </c>
      <c r="F12" s="8" t="s">
        <v>318</v>
      </c>
      <c r="G12" s="12" t="s">
        <v>484</v>
      </c>
      <c r="H12" s="8" t="s">
        <v>538</v>
      </c>
      <c r="I12" s="8" t="s">
        <v>504</v>
      </c>
      <c r="J12" s="8"/>
    </row>
    <row r="13" customFormat="false" ht="15" hidden="false" customHeight="false" outlineLevel="0" collapsed="false">
      <c r="A13" s="8" t="s">
        <v>539</v>
      </c>
      <c r="B13" s="8" t="s">
        <v>540</v>
      </c>
      <c r="C13" s="8" t="s">
        <v>541</v>
      </c>
      <c r="D13" s="8" t="s">
        <v>499</v>
      </c>
      <c r="E13" s="8" t="s">
        <v>500</v>
      </c>
      <c r="F13" s="8" t="s">
        <v>315</v>
      </c>
      <c r="G13" s="12" t="s">
        <v>484</v>
      </c>
      <c r="H13" s="8" t="s">
        <v>542</v>
      </c>
      <c r="I13" s="8" t="s">
        <v>504</v>
      </c>
      <c r="J13" s="8"/>
    </row>
    <row r="14" customFormat="false" ht="23.85" hidden="false" customHeight="false" outlineLevel="0" collapsed="false">
      <c r="A14" s="8" t="s">
        <v>543</v>
      </c>
      <c r="B14" s="8" t="s">
        <v>544</v>
      </c>
      <c r="C14" s="8" t="s">
        <v>545</v>
      </c>
      <c r="D14" s="8" t="s">
        <v>546</v>
      </c>
      <c r="E14" s="8" t="s">
        <v>500</v>
      </c>
      <c r="F14" s="8" t="s">
        <v>283</v>
      </c>
      <c r="G14" s="12" t="s">
        <v>547</v>
      </c>
      <c r="H14" s="8" t="s">
        <v>548</v>
      </c>
      <c r="I14" s="8" t="s">
        <v>351</v>
      </c>
      <c r="J14" s="8" t="s">
        <v>549</v>
      </c>
    </row>
    <row r="15" customFormat="false" ht="23.85" hidden="false" customHeight="false" outlineLevel="0" collapsed="false">
      <c r="A15" s="8" t="s">
        <v>550</v>
      </c>
      <c r="B15" s="8" t="s">
        <v>551</v>
      </c>
      <c r="C15" s="8" t="s">
        <v>552</v>
      </c>
      <c r="D15" s="8" t="s">
        <v>553</v>
      </c>
      <c r="E15" s="8" t="s">
        <v>500</v>
      </c>
      <c r="F15" s="8" t="s">
        <v>385</v>
      </c>
      <c r="G15" s="12" t="s">
        <v>484</v>
      </c>
      <c r="H15" s="8" t="s">
        <v>554</v>
      </c>
      <c r="I15" s="8" t="s">
        <v>504</v>
      </c>
      <c r="J15" s="8" t="s">
        <v>555</v>
      </c>
    </row>
    <row r="16" customFormat="false" ht="23.85" hidden="false" customHeight="false" outlineLevel="0" collapsed="false">
      <c r="A16" s="8" t="s">
        <v>556</v>
      </c>
      <c r="B16" s="8" t="s">
        <v>557</v>
      </c>
      <c r="C16" s="8" t="s">
        <v>558</v>
      </c>
      <c r="D16" s="8" t="s">
        <v>559</v>
      </c>
      <c r="E16" s="8" t="s">
        <v>500</v>
      </c>
      <c r="F16" s="8" t="s">
        <v>317</v>
      </c>
      <c r="G16" s="12" t="s">
        <v>560</v>
      </c>
      <c r="H16" s="8" t="s">
        <v>561</v>
      </c>
      <c r="I16" s="8" t="s">
        <v>516</v>
      </c>
      <c r="J16" s="8" t="s">
        <v>562</v>
      </c>
    </row>
    <row r="17" customFormat="false" ht="15" hidden="false" customHeight="false" outlineLevel="0" collapsed="false">
      <c r="A17" s="8" t="s">
        <v>563</v>
      </c>
      <c r="B17" s="8" t="s">
        <v>564</v>
      </c>
      <c r="C17" s="8" t="s">
        <v>565</v>
      </c>
      <c r="D17" s="8" t="s">
        <v>532</v>
      </c>
      <c r="E17" s="8" t="s">
        <v>500</v>
      </c>
      <c r="F17" s="8" t="s">
        <v>524</v>
      </c>
      <c r="G17" s="12" t="s">
        <v>547</v>
      </c>
      <c r="H17" s="8" t="s">
        <v>566</v>
      </c>
      <c r="I17" s="8" t="s">
        <v>351</v>
      </c>
      <c r="J17" s="8"/>
    </row>
    <row r="18" customFormat="false" ht="23.85" hidden="false" customHeight="false" outlineLevel="0" collapsed="false">
      <c r="A18" s="8" t="s">
        <v>567</v>
      </c>
      <c r="B18" s="8" t="s">
        <v>568</v>
      </c>
      <c r="C18" s="8" t="s">
        <v>569</v>
      </c>
      <c r="D18" s="8" t="s">
        <v>499</v>
      </c>
      <c r="E18" s="8" t="s">
        <v>500</v>
      </c>
      <c r="F18" s="8" t="s">
        <v>467</v>
      </c>
      <c r="G18" s="12" t="s">
        <v>547</v>
      </c>
      <c r="H18" s="8" t="s">
        <v>570</v>
      </c>
      <c r="I18" s="8" t="s">
        <v>351</v>
      </c>
      <c r="J18" s="8" t="s">
        <v>571</v>
      </c>
    </row>
    <row r="19" customFormat="false" ht="15" hidden="false" customHeight="false" outlineLevel="0" collapsed="false">
      <c r="A19" s="8" t="s">
        <v>572</v>
      </c>
      <c r="B19" s="8" t="s">
        <v>573</v>
      </c>
      <c r="C19" s="8" t="s">
        <v>574</v>
      </c>
      <c r="D19" s="8" t="s">
        <v>532</v>
      </c>
      <c r="E19" s="8" t="s">
        <v>575</v>
      </c>
      <c r="F19" s="8" t="s">
        <v>533</v>
      </c>
      <c r="G19" s="12" t="s">
        <v>576</v>
      </c>
      <c r="H19" s="8" t="s">
        <v>577</v>
      </c>
      <c r="I19" s="8" t="s">
        <v>504</v>
      </c>
      <c r="J19" s="8"/>
    </row>
  </sheetData>
  <mergeCells count="3">
    <mergeCell ref="A1:J1"/>
    <mergeCell ref="A2:J2"/>
    <mergeCell ref="A3:J3"/>
  </mergeCells>
  <conditionalFormatting sqref="I5:I200">
    <cfRule type="expression" priority="2" aboveAverage="0" equalAverage="0" bottom="0" percent="0" rank="0" text="" dxfId="0">
      <formula>$I5="Retired"</formula>
    </cfRule>
    <cfRule type="expression" priority="3" aboveAverage="0" equalAverage="0" bottom="0" percent="0" rank="0" text="" dxfId="4">
      <formula>$I5="Permanent"</formula>
    </cfRule>
  </conditionalFormatting>
  <dataValidations count="2">
    <dataValidation allowBlank="true" errorStyle="stop" operator="between" showDropDown="false" showErrorMessage="false" showInputMessage="false" sqref="D5:D200" type="list">
      <formula1>"Cutover,Rollout,Safety kill-switch,Safety / resilience,Migration,Diagnostic,Permanent,Other"</formula1>
      <formula2>0</formula2>
    </dataValidation>
    <dataValidation allowBlank="true" errorStyle="stop" operator="between" showDropDown="false" showErrorMessage="false" showInputMessage="false" sqref="I5:I200" type="list">
      <formula1>"Planned,Active,Permanent,Retired"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10" min="9" style="0" width="14"/>
    <col collapsed="false" customWidth="true" hidden="false" outlineLevel="0" max="11" min="11" style="0" width="22"/>
  </cols>
  <sheetData>
    <row r="1" customFormat="false" ht="24" hidden="false" customHeight="true" outlineLevel="0" collapsed="false">
      <c r="A1" s="5" t="s">
        <v>578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579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customFormat="false" ht="15" hidden="false" customHeight="false" outlineLevel="0" collapsed="false">
      <c r="A3" s="6" t="s">
        <v>580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customFormat="false" ht="31.5" hidden="false" customHeight="true" outlineLevel="0" collapsed="false">
      <c r="A4" s="7" t="s">
        <v>581</v>
      </c>
      <c r="B4" s="7" t="s">
        <v>423</v>
      </c>
      <c r="C4" s="7" t="s">
        <v>424</v>
      </c>
      <c r="D4" s="7" t="s">
        <v>425</v>
      </c>
      <c r="E4" s="7" t="s">
        <v>582</v>
      </c>
      <c r="F4" s="7" t="s">
        <v>583</v>
      </c>
      <c r="G4" s="7" t="s">
        <v>584</v>
      </c>
      <c r="H4" s="7" t="s">
        <v>54</v>
      </c>
      <c r="I4" s="7" t="s">
        <v>585</v>
      </c>
      <c r="J4" s="7" t="s">
        <v>57</v>
      </c>
      <c r="K4" s="7" t="s">
        <v>63</v>
      </c>
    </row>
    <row r="5" customFormat="false" ht="23.85" hidden="false" customHeight="false" outlineLevel="0" collapsed="false">
      <c r="A5" s="8" t="s">
        <v>586</v>
      </c>
      <c r="B5" s="8" t="s">
        <v>587</v>
      </c>
      <c r="C5" s="8" t="s">
        <v>588</v>
      </c>
      <c r="D5" s="8" t="s">
        <v>433</v>
      </c>
      <c r="E5" s="8" t="s">
        <v>77</v>
      </c>
      <c r="F5" s="8" t="s">
        <v>75</v>
      </c>
      <c r="G5" s="8" t="n">
        <v>5</v>
      </c>
      <c r="H5" s="8" t="s">
        <v>589</v>
      </c>
      <c r="I5" s="8" t="s">
        <v>153</v>
      </c>
      <c r="J5" s="8" t="s">
        <v>461</v>
      </c>
      <c r="K5" s="8" t="s">
        <v>590</v>
      </c>
    </row>
    <row r="6" customFormat="false" ht="15" hidden="false" customHeight="false" outlineLevel="0" collapsed="false">
      <c r="A6" s="8" t="s">
        <v>591</v>
      </c>
      <c r="B6" s="8" t="s">
        <v>592</v>
      </c>
      <c r="C6" s="8" t="s">
        <v>593</v>
      </c>
      <c r="D6" s="8" t="s">
        <v>439</v>
      </c>
      <c r="E6" s="8" t="s">
        <v>71</v>
      </c>
      <c r="F6" s="8" t="s">
        <v>594</v>
      </c>
      <c r="G6" s="8" t="n">
        <v>5</v>
      </c>
      <c r="H6" s="8" t="s">
        <v>595</v>
      </c>
      <c r="I6" s="8" t="s">
        <v>131</v>
      </c>
      <c r="J6" s="8" t="s">
        <v>235</v>
      </c>
      <c r="K6" s="8" t="s">
        <v>596</v>
      </c>
    </row>
    <row r="7" customFormat="false" ht="15" hidden="false" customHeight="false" outlineLevel="0" collapsed="false">
      <c r="A7" s="8" t="s">
        <v>597</v>
      </c>
      <c r="B7" s="8" t="s">
        <v>598</v>
      </c>
      <c r="C7" s="8" t="s">
        <v>599</v>
      </c>
      <c r="D7" s="8" t="s">
        <v>472</v>
      </c>
      <c r="E7" s="8" t="s">
        <v>71</v>
      </c>
      <c r="F7" s="8" t="s">
        <v>210</v>
      </c>
      <c r="G7" s="8" t="n">
        <v>3</v>
      </c>
      <c r="H7" s="8" t="s">
        <v>600</v>
      </c>
      <c r="I7" s="8" t="s">
        <v>601</v>
      </c>
      <c r="J7" s="8" t="s">
        <v>461</v>
      </c>
      <c r="K7" s="8" t="s">
        <v>602</v>
      </c>
    </row>
    <row r="8" customFormat="false" ht="35.05" hidden="false" customHeight="false" outlineLevel="0" collapsed="false">
      <c r="A8" s="8" t="s">
        <v>603</v>
      </c>
      <c r="B8" s="8" t="s">
        <v>604</v>
      </c>
      <c r="C8" s="8" t="s">
        <v>588</v>
      </c>
      <c r="D8" s="8" t="s">
        <v>433</v>
      </c>
      <c r="E8" s="8" t="s">
        <v>90</v>
      </c>
      <c r="F8" s="8" t="s">
        <v>142</v>
      </c>
      <c r="G8" s="8" t="n">
        <v>8</v>
      </c>
      <c r="H8" s="8" t="s">
        <v>589</v>
      </c>
      <c r="I8" s="8" t="s">
        <v>358</v>
      </c>
      <c r="J8" s="8" t="s">
        <v>461</v>
      </c>
      <c r="K8" s="8" t="s">
        <v>605</v>
      </c>
    </row>
    <row r="9" customFormat="false" ht="23.85" hidden="false" customHeight="false" outlineLevel="0" collapsed="false">
      <c r="A9" s="8" t="s">
        <v>606</v>
      </c>
      <c r="B9" s="8" t="s">
        <v>607</v>
      </c>
      <c r="C9" s="8" t="s">
        <v>608</v>
      </c>
      <c r="D9" s="8" t="s">
        <v>439</v>
      </c>
      <c r="E9" s="8" t="s">
        <v>77</v>
      </c>
      <c r="F9" s="8" t="s">
        <v>594</v>
      </c>
      <c r="G9" s="8" t="n">
        <v>8</v>
      </c>
      <c r="H9" s="8" t="s">
        <v>595</v>
      </c>
      <c r="I9" s="8" t="s">
        <v>162</v>
      </c>
      <c r="J9" s="8" t="s">
        <v>461</v>
      </c>
      <c r="K9" s="8" t="s">
        <v>609</v>
      </c>
    </row>
    <row r="10" customFormat="false" ht="23.85" hidden="false" customHeight="false" outlineLevel="0" collapsed="false">
      <c r="A10" s="8" t="s">
        <v>610</v>
      </c>
      <c r="B10" s="8" t="s">
        <v>611</v>
      </c>
      <c r="C10" s="8" t="s">
        <v>612</v>
      </c>
      <c r="D10" s="8" t="s">
        <v>439</v>
      </c>
      <c r="E10" s="8" t="s">
        <v>71</v>
      </c>
      <c r="F10" s="8" t="s">
        <v>613</v>
      </c>
      <c r="G10" s="8" t="n">
        <v>5</v>
      </c>
      <c r="H10" s="8" t="s">
        <v>595</v>
      </c>
      <c r="I10" s="8" t="s">
        <v>162</v>
      </c>
      <c r="J10" s="8" t="s">
        <v>461</v>
      </c>
      <c r="K10" s="8" t="s">
        <v>614</v>
      </c>
    </row>
    <row r="11" customFormat="false" ht="23.85" hidden="false" customHeight="false" outlineLevel="0" collapsed="false">
      <c r="A11" s="8" t="s">
        <v>615</v>
      </c>
      <c r="B11" s="8" t="s">
        <v>616</v>
      </c>
      <c r="C11" s="8" t="s">
        <v>617</v>
      </c>
      <c r="D11" s="8" t="s">
        <v>433</v>
      </c>
      <c r="E11" s="8" t="s">
        <v>97</v>
      </c>
      <c r="F11" s="8" t="s">
        <v>179</v>
      </c>
      <c r="G11" s="8" t="n">
        <v>3</v>
      </c>
      <c r="H11" s="8" t="s">
        <v>589</v>
      </c>
      <c r="I11" s="8" t="s">
        <v>131</v>
      </c>
      <c r="J11" s="8" t="s">
        <v>461</v>
      </c>
      <c r="K11" s="8" t="s">
        <v>618</v>
      </c>
    </row>
    <row r="12" customFormat="false" ht="15" hidden="false" customHeight="false" outlineLevel="0" collapsed="false">
      <c r="A12" s="8" t="s">
        <v>619</v>
      </c>
      <c r="B12" s="8" t="s">
        <v>620</v>
      </c>
      <c r="C12" s="8" t="s">
        <v>482</v>
      </c>
      <c r="D12" s="8" t="s">
        <v>472</v>
      </c>
      <c r="E12" s="8" t="s">
        <v>85</v>
      </c>
      <c r="F12" s="8" t="s">
        <v>594</v>
      </c>
      <c r="G12" s="8" t="n">
        <v>3</v>
      </c>
      <c r="H12" s="8" t="s">
        <v>600</v>
      </c>
      <c r="I12" s="8" t="s">
        <v>361</v>
      </c>
      <c r="J12" s="8" t="s">
        <v>461</v>
      </c>
      <c r="K12" s="8" t="s">
        <v>621</v>
      </c>
    </row>
    <row r="13" customFormat="false" ht="23.85" hidden="false" customHeight="false" outlineLevel="0" collapsed="false">
      <c r="A13" s="8" t="s">
        <v>622</v>
      </c>
      <c r="B13" s="8" t="s">
        <v>623</v>
      </c>
      <c r="C13" s="8" t="s">
        <v>624</v>
      </c>
      <c r="D13" s="8" t="s">
        <v>433</v>
      </c>
      <c r="E13" s="8" t="s">
        <v>77</v>
      </c>
      <c r="F13" s="8" t="s">
        <v>196</v>
      </c>
      <c r="G13" s="8" t="n">
        <v>5</v>
      </c>
      <c r="H13" s="8" t="s">
        <v>589</v>
      </c>
      <c r="I13" s="8" t="s">
        <v>97</v>
      </c>
      <c r="J13" s="8" t="s">
        <v>393</v>
      </c>
      <c r="K13" s="8" t="s">
        <v>404</v>
      </c>
    </row>
    <row r="14" customFormat="false" ht="23.85" hidden="false" customHeight="false" outlineLevel="0" collapsed="false">
      <c r="A14" s="8" t="s">
        <v>625</v>
      </c>
      <c r="B14" s="8" t="s">
        <v>626</v>
      </c>
      <c r="C14" s="8" t="s">
        <v>617</v>
      </c>
      <c r="D14" s="8" t="s">
        <v>439</v>
      </c>
      <c r="E14" s="8" t="s">
        <v>77</v>
      </c>
      <c r="F14" s="8" t="s">
        <v>64</v>
      </c>
      <c r="G14" s="8" t="n">
        <v>3</v>
      </c>
      <c r="H14" s="8" t="s">
        <v>595</v>
      </c>
      <c r="I14" s="8" t="s">
        <v>358</v>
      </c>
      <c r="J14" s="8" t="s">
        <v>461</v>
      </c>
      <c r="K14" s="8"/>
    </row>
    <row r="15" customFormat="false" ht="15" hidden="false" customHeight="false" outlineLevel="0" collapsed="false">
      <c r="A15" s="8" t="s">
        <v>627</v>
      </c>
      <c r="B15" s="8" t="s">
        <v>628</v>
      </c>
      <c r="C15" s="8" t="s">
        <v>629</v>
      </c>
      <c r="D15" s="8" t="s">
        <v>439</v>
      </c>
      <c r="E15" s="8" t="s">
        <v>85</v>
      </c>
      <c r="F15" s="8" t="s">
        <v>613</v>
      </c>
      <c r="G15" s="8" t="n">
        <v>3</v>
      </c>
      <c r="H15" s="8" t="s">
        <v>595</v>
      </c>
      <c r="I15" s="8" t="s">
        <v>358</v>
      </c>
      <c r="J15" s="8" t="s">
        <v>461</v>
      </c>
      <c r="K15" s="8" t="s">
        <v>630</v>
      </c>
    </row>
    <row r="16" customFormat="false" ht="23.85" hidden="false" customHeight="false" outlineLevel="0" collapsed="false">
      <c r="A16" s="8" t="s">
        <v>631</v>
      </c>
      <c r="B16" s="8" t="s">
        <v>632</v>
      </c>
      <c r="C16" s="8" t="s">
        <v>633</v>
      </c>
      <c r="D16" s="8" t="s">
        <v>472</v>
      </c>
      <c r="E16" s="8" t="s">
        <v>90</v>
      </c>
      <c r="F16" s="8" t="s">
        <v>634</v>
      </c>
      <c r="G16" s="8" t="n">
        <v>2</v>
      </c>
      <c r="H16" s="8" t="s">
        <v>600</v>
      </c>
      <c r="I16" s="8" t="s">
        <v>601</v>
      </c>
      <c r="J16" s="8" t="s">
        <v>461</v>
      </c>
      <c r="K16" s="8"/>
    </row>
    <row r="17" customFormat="false" ht="23.85" hidden="false" customHeight="false" outlineLevel="0" collapsed="false">
      <c r="A17" s="8" t="s">
        <v>635</v>
      </c>
      <c r="B17" s="8" t="s">
        <v>636</v>
      </c>
      <c r="C17" s="8" t="s">
        <v>637</v>
      </c>
      <c r="D17" s="8" t="s">
        <v>439</v>
      </c>
      <c r="E17" s="8" t="s">
        <v>90</v>
      </c>
      <c r="F17" s="8" t="s">
        <v>638</v>
      </c>
      <c r="G17" s="8" t="n">
        <v>5</v>
      </c>
      <c r="H17" s="8" t="s">
        <v>595</v>
      </c>
      <c r="I17" s="8" t="s">
        <v>162</v>
      </c>
      <c r="J17" s="8" t="s">
        <v>461</v>
      </c>
      <c r="K17" s="8" t="s">
        <v>639</v>
      </c>
    </row>
    <row r="18" customFormat="false" ht="15" hidden="false" customHeight="false" outlineLevel="0" collapsed="false">
      <c r="A18" s="8" t="s">
        <v>640</v>
      </c>
      <c r="B18" s="8" t="s">
        <v>641</v>
      </c>
      <c r="C18" s="8" t="s">
        <v>553</v>
      </c>
      <c r="D18" s="8" t="s">
        <v>439</v>
      </c>
      <c r="E18" s="8" t="s">
        <v>85</v>
      </c>
      <c r="F18" s="8" t="s">
        <v>642</v>
      </c>
      <c r="G18" s="8" t="n">
        <v>5</v>
      </c>
      <c r="H18" s="8" t="s">
        <v>595</v>
      </c>
      <c r="I18" s="8" t="s">
        <v>361</v>
      </c>
      <c r="J18" s="8" t="s">
        <v>461</v>
      </c>
      <c r="K18" s="8" t="s">
        <v>449</v>
      </c>
    </row>
    <row r="19" customFormat="false" ht="23.85" hidden="false" customHeight="false" outlineLevel="0" collapsed="false">
      <c r="A19" s="8" t="s">
        <v>643</v>
      </c>
      <c r="B19" s="8" t="s">
        <v>644</v>
      </c>
      <c r="C19" s="8" t="s">
        <v>645</v>
      </c>
      <c r="D19" s="8" t="s">
        <v>646</v>
      </c>
      <c r="E19" s="8" t="s">
        <v>90</v>
      </c>
      <c r="F19" s="8" t="s">
        <v>142</v>
      </c>
      <c r="G19" s="8" t="n">
        <v>8</v>
      </c>
      <c r="H19" s="8" t="s">
        <v>646</v>
      </c>
      <c r="I19" s="8" t="s">
        <v>97</v>
      </c>
      <c r="J19" s="8" t="s">
        <v>461</v>
      </c>
      <c r="K19" s="8" t="s">
        <v>647</v>
      </c>
    </row>
    <row r="20" customFormat="false" ht="15" hidden="false" customHeight="false" outlineLevel="0" collapsed="false">
      <c r="A20" s="8" t="s">
        <v>648</v>
      </c>
      <c r="B20" s="8" t="s">
        <v>649</v>
      </c>
      <c r="C20" s="8" t="s">
        <v>650</v>
      </c>
      <c r="D20" s="8" t="s">
        <v>472</v>
      </c>
      <c r="E20" s="8" t="s">
        <v>85</v>
      </c>
      <c r="F20" s="8" t="s">
        <v>613</v>
      </c>
      <c r="G20" s="8" t="n">
        <v>2</v>
      </c>
      <c r="H20" s="8" t="s">
        <v>600</v>
      </c>
      <c r="I20" s="8" t="s">
        <v>365</v>
      </c>
      <c r="J20" s="8" t="s">
        <v>461</v>
      </c>
      <c r="K20" s="8" t="s">
        <v>651</v>
      </c>
    </row>
    <row r="23" customFormat="false" ht="15" hidden="false" customHeight="false" outlineLevel="0" collapsed="false">
      <c r="A23" s="9" t="s">
        <v>217</v>
      </c>
    </row>
    <row r="24" customFormat="false" ht="15" hidden="false" customHeight="false" outlineLevel="0" collapsed="false">
      <c r="A24" s="4" t="s">
        <v>652</v>
      </c>
      <c r="B24" s="10" t="n">
        <f aca="false">COUNTA(A5:A300)-COUNTIF(A5:A300,"")</f>
        <v>-252</v>
      </c>
    </row>
    <row r="25" customFormat="false" ht="15" hidden="false" customHeight="false" outlineLevel="0" collapsed="false">
      <c r="A25" s="4" t="s">
        <v>653</v>
      </c>
      <c r="B25" s="10" t="n">
        <f aca="false">COUNTIFS(D5:D300,"CRITICAL",J5:J300,"Open")</f>
        <v>1</v>
      </c>
    </row>
    <row r="26" customFormat="false" ht="15" hidden="false" customHeight="false" outlineLevel="0" collapsed="false">
      <c r="A26" s="4" t="s">
        <v>654</v>
      </c>
      <c r="B26" s="10" t="n">
        <f aca="false">COUNTIFS(D5:D300,"High",J5:J300,"Open")</f>
        <v>3</v>
      </c>
    </row>
    <row r="27" customFormat="false" ht="15" hidden="false" customHeight="false" outlineLevel="0" collapsed="false">
      <c r="A27" s="4" t="s">
        <v>655</v>
      </c>
      <c r="B27" s="10" t="n">
        <f aca="false">SUMIF(J5:J300,"Open",G5:G300)</f>
        <v>63</v>
      </c>
    </row>
    <row r="28" customFormat="false" ht="15" hidden="false" customHeight="false" outlineLevel="0" collapsed="false">
      <c r="A28" s="4" t="s">
        <v>656</v>
      </c>
      <c r="B28" s="10" t="n">
        <f aca="false">COUNTIF(C5:C300,"SAFETY")</f>
        <v>1</v>
      </c>
    </row>
  </sheetData>
  <mergeCells count="3">
    <mergeCell ref="A1:K1"/>
    <mergeCell ref="A2:K2"/>
    <mergeCell ref="A3:K3"/>
  </mergeCells>
  <conditionalFormatting sqref="D5:D300">
    <cfRule type="expression" priority="2" aboveAverage="0" equalAverage="0" bottom="0" percent="0" rank="0" text="" dxfId="6">
      <formula>$D5="CRITICAL"</formula>
    </cfRule>
    <cfRule type="expression" priority="3" aboveAverage="0" equalAverage="0" bottom="0" percent="0" rank="0" text="" dxfId="4">
      <formula>$D5="High"</formula>
    </cfRule>
  </conditionalFormatting>
  <conditionalFormatting sqref="J5:J300">
    <cfRule type="expression" priority="4" aboveAverage="0" equalAverage="0" bottom="0" percent="0" rank="0" text="" dxfId="0">
      <formula>$J5="Closed"</formula>
    </cfRule>
  </conditionalFormatting>
  <dataValidations count="4">
    <dataValidation allowBlank="true" errorStyle="stop" operator="between" showDropDown="false" showErrorMessage="false" showInputMessage="false" sqref="C5:C300" type="list">
      <formula1>"Architecture,Design,Testing,Test coverage,Integration,UI,Tooling,Observability,Performance,Resilience,Migration,Platform,Process,SAFETY,Other"</formula1>
      <formula2>0</formula2>
    </dataValidation>
    <dataValidation allowBlank="true" errorStyle="stop" operator="between" showDropDown="false" showErrorMessage="false" showInputMessage="false" sqref="D5:D300" type="list">
      <formula1>"CRITICAL,High,Medium,Low"</formula1>
      <formula2>0</formula2>
    </dataValidation>
    <dataValidation allowBlank="true" errorStyle="stop" operator="between" showDropDown="false" showErrorMessage="false" showInputMessage="false" sqref="H5:H300" type="list">
      <formula1>"CRITICAL,H,M,L"</formula1>
      <formula2>0</formula2>
    </dataValidation>
    <dataValidation allowBlank="true" errorStyle="stop" operator="between" showDropDown="false" showErrorMessage="false" showInputMessage="false" sqref="J5:J300" type="list">
      <formula1>"Open,In Progress,Closed,Accepted"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14"/>
  </cols>
  <sheetData>
    <row r="1" customFormat="false" ht="24" hidden="false" customHeight="true" outlineLevel="0" collapsed="false">
      <c r="A1" s="5" t="s">
        <v>657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658</v>
      </c>
      <c r="B2" s="6"/>
      <c r="C2" s="6"/>
      <c r="D2" s="6"/>
      <c r="E2" s="6"/>
      <c r="F2" s="6"/>
      <c r="G2" s="6"/>
      <c r="H2" s="6"/>
      <c r="I2" s="6"/>
    </row>
    <row r="3" customFormat="false" ht="15" hidden="false" customHeight="false" outlineLevel="0" collapsed="false">
      <c r="A3" s="6" t="s">
        <v>659</v>
      </c>
      <c r="B3" s="6"/>
      <c r="C3" s="6"/>
      <c r="D3" s="6"/>
      <c r="E3" s="6"/>
      <c r="F3" s="6"/>
      <c r="G3" s="6"/>
      <c r="H3" s="6"/>
      <c r="I3" s="6"/>
    </row>
    <row r="4" customFormat="false" ht="31.5" hidden="false" customHeight="true" outlineLevel="0" collapsed="false">
      <c r="A4" s="7" t="s">
        <v>660</v>
      </c>
      <c r="B4" s="7" t="s">
        <v>661</v>
      </c>
      <c r="C4" s="7" t="s">
        <v>424</v>
      </c>
      <c r="D4" s="7" t="s">
        <v>662</v>
      </c>
      <c r="E4" s="7" t="s">
        <v>663</v>
      </c>
      <c r="F4" s="7" t="s">
        <v>425</v>
      </c>
      <c r="G4" s="7" t="s">
        <v>427</v>
      </c>
      <c r="H4" s="7" t="s">
        <v>664</v>
      </c>
      <c r="I4" s="7" t="s">
        <v>57</v>
      </c>
    </row>
    <row r="5" customFormat="false" ht="23.85" hidden="false" customHeight="false" outlineLevel="0" collapsed="false">
      <c r="A5" s="8" t="s">
        <v>665</v>
      </c>
      <c r="B5" s="8" t="s">
        <v>666</v>
      </c>
      <c r="C5" s="8" t="s">
        <v>391</v>
      </c>
      <c r="D5" s="8" t="n">
        <v>8</v>
      </c>
      <c r="E5" s="8" t="s">
        <v>71</v>
      </c>
      <c r="F5" s="8" t="s">
        <v>439</v>
      </c>
      <c r="G5" s="8" t="s">
        <v>286</v>
      </c>
      <c r="H5" s="8" t="s">
        <v>667</v>
      </c>
      <c r="I5" s="8" t="s">
        <v>393</v>
      </c>
    </row>
    <row r="6" customFormat="false" ht="23.85" hidden="false" customHeight="false" outlineLevel="0" collapsed="false">
      <c r="A6" s="8" t="s">
        <v>668</v>
      </c>
      <c r="B6" s="8" t="s">
        <v>669</v>
      </c>
      <c r="C6" s="8" t="s">
        <v>670</v>
      </c>
      <c r="D6" s="8" t="n">
        <v>4</v>
      </c>
      <c r="E6" s="8" t="s">
        <v>77</v>
      </c>
      <c r="F6" s="8" t="s">
        <v>433</v>
      </c>
      <c r="G6" s="8" t="s">
        <v>286</v>
      </c>
      <c r="H6" s="8" t="s">
        <v>671</v>
      </c>
      <c r="I6" s="8" t="s">
        <v>235</v>
      </c>
    </row>
    <row r="7" customFormat="false" ht="23.85" hidden="false" customHeight="false" outlineLevel="0" collapsed="false">
      <c r="A7" s="8" t="s">
        <v>672</v>
      </c>
      <c r="B7" s="8" t="s">
        <v>673</v>
      </c>
      <c r="C7" s="8" t="s">
        <v>670</v>
      </c>
      <c r="D7" s="8" t="n">
        <v>3</v>
      </c>
      <c r="E7" s="8" t="s">
        <v>85</v>
      </c>
      <c r="F7" s="8" t="s">
        <v>433</v>
      </c>
      <c r="G7" s="8" t="s">
        <v>385</v>
      </c>
      <c r="H7" s="8" t="s">
        <v>674</v>
      </c>
      <c r="I7" s="8" t="s">
        <v>235</v>
      </c>
    </row>
    <row r="8" customFormat="false" ht="23.85" hidden="false" customHeight="false" outlineLevel="0" collapsed="false">
      <c r="A8" s="8" t="s">
        <v>675</v>
      </c>
      <c r="B8" s="8" t="s">
        <v>676</v>
      </c>
      <c r="C8" s="8" t="s">
        <v>637</v>
      </c>
      <c r="D8" s="8" t="n">
        <v>2</v>
      </c>
      <c r="E8" s="8" t="s">
        <v>77</v>
      </c>
      <c r="F8" s="8" t="s">
        <v>433</v>
      </c>
      <c r="G8" s="8" t="s">
        <v>677</v>
      </c>
      <c r="H8" s="8" t="s">
        <v>678</v>
      </c>
      <c r="I8" s="8" t="s">
        <v>393</v>
      </c>
    </row>
    <row r="9" customFormat="false" ht="23.85" hidden="false" customHeight="false" outlineLevel="0" collapsed="false">
      <c r="A9" s="8" t="s">
        <v>679</v>
      </c>
      <c r="B9" s="8" t="s">
        <v>680</v>
      </c>
      <c r="C9" s="8" t="s">
        <v>681</v>
      </c>
      <c r="D9" s="8" t="n">
        <v>2</v>
      </c>
      <c r="E9" s="8" t="s">
        <v>77</v>
      </c>
      <c r="F9" s="8" t="s">
        <v>433</v>
      </c>
      <c r="G9" s="8" t="s">
        <v>318</v>
      </c>
      <c r="H9" s="8" t="s">
        <v>682</v>
      </c>
      <c r="I9" s="8" t="s">
        <v>393</v>
      </c>
    </row>
    <row r="10" customFormat="false" ht="23.85" hidden="false" customHeight="false" outlineLevel="0" collapsed="false">
      <c r="A10" s="8" t="s">
        <v>683</v>
      </c>
      <c r="B10" s="8" t="s">
        <v>684</v>
      </c>
      <c r="C10" s="8" t="s">
        <v>608</v>
      </c>
      <c r="D10" s="8" t="n">
        <v>12</v>
      </c>
      <c r="E10" s="8" t="s">
        <v>77</v>
      </c>
      <c r="F10" s="8" t="s">
        <v>439</v>
      </c>
      <c r="G10" s="8" t="s">
        <v>305</v>
      </c>
      <c r="H10" s="8" t="s">
        <v>685</v>
      </c>
      <c r="I10" s="8" t="s">
        <v>235</v>
      </c>
    </row>
    <row r="11" customFormat="false" ht="15" hidden="false" customHeight="false" outlineLevel="0" collapsed="false">
      <c r="A11" s="8" t="s">
        <v>686</v>
      </c>
      <c r="B11" s="8" t="s">
        <v>687</v>
      </c>
      <c r="C11" s="8" t="s">
        <v>637</v>
      </c>
      <c r="D11" s="8" t="n">
        <v>3</v>
      </c>
      <c r="E11" s="8" t="s">
        <v>85</v>
      </c>
      <c r="F11" s="8" t="s">
        <v>439</v>
      </c>
      <c r="G11" s="8" t="s">
        <v>677</v>
      </c>
      <c r="H11" s="8" t="s">
        <v>688</v>
      </c>
      <c r="I11" s="8" t="s">
        <v>393</v>
      </c>
    </row>
    <row r="12" customFormat="false" ht="15" hidden="false" customHeight="false" outlineLevel="0" collapsed="false">
      <c r="A12" s="8" t="s">
        <v>689</v>
      </c>
      <c r="B12" s="8" t="s">
        <v>690</v>
      </c>
      <c r="C12" s="8" t="s">
        <v>593</v>
      </c>
      <c r="D12" s="8" t="n">
        <v>5</v>
      </c>
      <c r="E12" s="8" t="s">
        <v>85</v>
      </c>
      <c r="F12" s="8" t="s">
        <v>472</v>
      </c>
      <c r="G12" s="8" t="s">
        <v>309</v>
      </c>
      <c r="H12" s="8" t="s">
        <v>691</v>
      </c>
      <c r="I12" s="8" t="s">
        <v>235</v>
      </c>
    </row>
    <row r="13" customFormat="false" ht="23.85" hidden="false" customHeight="false" outlineLevel="0" collapsed="false">
      <c r="A13" s="8" t="s">
        <v>692</v>
      </c>
      <c r="B13" s="8" t="s">
        <v>693</v>
      </c>
      <c r="C13" s="8" t="s">
        <v>588</v>
      </c>
      <c r="D13" s="8" t="n">
        <v>6</v>
      </c>
      <c r="E13" s="8" t="s">
        <v>77</v>
      </c>
      <c r="F13" s="8" t="s">
        <v>439</v>
      </c>
      <c r="G13" s="8" t="s">
        <v>286</v>
      </c>
      <c r="H13" s="8" t="s">
        <v>694</v>
      </c>
      <c r="I13" s="8" t="s">
        <v>386</v>
      </c>
    </row>
    <row r="14" customFormat="false" ht="23.85" hidden="false" customHeight="false" outlineLevel="0" collapsed="false">
      <c r="A14" s="8" t="s">
        <v>695</v>
      </c>
      <c r="B14" s="8" t="s">
        <v>696</v>
      </c>
      <c r="C14" s="8" t="s">
        <v>697</v>
      </c>
      <c r="D14" s="8" t="n">
        <v>2</v>
      </c>
      <c r="E14" s="8" t="s">
        <v>85</v>
      </c>
      <c r="F14" s="8" t="s">
        <v>433</v>
      </c>
      <c r="G14" s="8" t="s">
        <v>698</v>
      </c>
      <c r="H14" s="8" t="s">
        <v>699</v>
      </c>
      <c r="I14" s="8" t="s">
        <v>235</v>
      </c>
    </row>
    <row r="15" customFormat="false" ht="15" hidden="false" customHeight="false" outlineLevel="0" collapsed="false">
      <c r="A15" s="8" t="s">
        <v>700</v>
      </c>
      <c r="B15" s="8" t="s">
        <v>701</v>
      </c>
      <c r="C15" s="8" t="s">
        <v>681</v>
      </c>
      <c r="D15" s="8" t="n">
        <v>3</v>
      </c>
      <c r="E15" s="8" t="s">
        <v>85</v>
      </c>
      <c r="F15" s="8" t="s">
        <v>433</v>
      </c>
      <c r="G15" s="8" t="s">
        <v>318</v>
      </c>
      <c r="H15" s="8" t="s">
        <v>702</v>
      </c>
      <c r="I15" s="8" t="s">
        <v>393</v>
      </c>
    </row>
    <row r="16" customFormat="false" ht="23.85" hidden="false" customHeight="false" outlineLevel="0" collapsed="false">
      <c r="A16" s="8" t="s">
        <v>703</v>
      </c>
      <c r="B16" s="8" t="s">
        <v>704</v>
      </c>
      <c r="C16" s="8" t="s">
        <v>705</v>
      </c>
      <c r="D16" s="8" t="n">
        <v>4</v>
      </c>
      <c r="E16" s="8" t="s">
        <v>85</v>
      </c>
      <c r="F16" s="8" t="s">
        <v>439</v>
      </c>
      <c r="G16" s="8" t="s">
        <v>283</v>
      </c>
      <c r="H16" s="8" t="s">
        <v>706</v>
      </c>
      <c r="I16" s="8" t="s">
        <v>235</v>
      </c>
    </row>
  </sheetData>
  <mergeCells count="3">
    <mergeCell ref="A1:I1"/>
    <mergeCell ref="A2:I2"/>
    <mergeCell ref="A3:I3"/>
  </mergeCells>
  <conditionalFormatting sqref="F5:F200">
    <cfRule type="expression" priority="2" aboveAverage="0" equalAverage="0" bottom="0" percent="0" rank="0" text="" dxfId="4">
      <formula>$F5="High"</formula>
    </cfRule>
  </conditionalFormatting>
  <conditionalFormatting sqref="I5:I200">
    <cfRule type="expression" priority="3" aboveAverage="0" equalAverage="0" bottom="0" percent="0" rank="0" text="" dxfId="0">
      <formula>$I5="Closed"</formula>
    </cfRule>
    <cfRule type="expression" priority="4" aboveAverage="0" equalAverage="0" bottom="0" percent="0" rank="0" text="" dxfId="2">
      <formula>$I5="In Progress"</formula>
    </cfRule>
  </conditionalFormatting>
  <dataValidations count="3">
    <dataValidation allowBlank="true" errorStyle="stop" operator="between" showDropDown="false" showErrorMessage="false" showInputMessage="false" sqref="C5:C200" type="list">
      <formula1>"Quality,Safety,Security,Security/Safety,Resilience,UI,Testing,Architecture,Legacy pattern,Performance,Observability,Other"</formula1>
      <formula2>0</formula2>
    </dataValidation>
    <dataValidation allowBlank="true" errorStyle="stop" operator="between" showDropDown="false" showErrorMessage="false" showInputMessage="false" sqref="F5:F200" type="list">
      <formula1>"High,Medium,Low"</formula1>
      <formula2>0</formula2>
    </dataValidation>
    <dataValidation allowBlank="true" errorStyle="stop" operator="between" showDropDown="false" showErrorMessage="false" showInputMessage="false" sqref="I5:I200" type="list">
      <formula1>"Open,In Progress,Ongoing,Closed"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24" hidden="false" customHeight="true" outlineLevel="0" collapsed="false">
      <c r="A1" s="5" t="s">
        <v>707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708</v>
      </c>
      <c r="B2" s="6"/>
      <c r="C2" s="6"/>
      <c r="D2" s="6"/>
      <c r="E2" s="6"/>
      <c r="F2" s="6"/>
      <c r="G2" s="6"/>
      <c r="H2" s="6"/>
      <c r="I2" s="6"/>
    </row>
    <row r="3" customFormat="false" ht="15" hidden="false" customHeight="false" outlineLevel="0" collapsed="false">
      <c r="A3" s="6" t="s">
        <v>709</v>
      </c>
      <c r="B3" s="6"/>
      <c r="C3" s="6"/>
      <c r="D3" s="6"/>
      <c r="E3" s="6"/>
      <c r="F3" s="6"/>
      <c r="G3" s="6"/>
      <c r="H3" s="6"/>
      <c r="I3" s="6"/>
    </row>
    <row r="4" customFormat="false" ht="31.5" hidden="false" customHeight="true" outlineLevel="0" collapsed="false">
      <c r="A4" s="7" t="s">
        <v>710</v>
      </c>
      <c r="B4" s="7" t="s">
        <v>423</v>
      </c>
      <c r="C4" s="7" t="s">
        <v>711</v>
      </c>
      <c r="D4" s="7" t="s">
        <v>712</v>
      </c>
      <c r="E4" s="7" t="s">
        <v>713</v>
      </c>
      <c r="F4" s="7" t="s">
        <v>714</v>
      </c>
      <c r="G4" s="7" t="s">
        <v>427</v>
      </c>
      <c r="H4" s="7" t="s">
        <v>57</v>
      </c>
      <c r="I4" s="7" t="s">
        <v>63</v>
      </c>
    </row>
    <row r="5" customFormat="false" ht="23.85" hidden="false" customHeight="false" outlineLevel="0" collapsed="false">
      <c r="A5" s="8" t="s">
        <v>715</v>
      </c>
      <c r="B5" s="8" t="s">
        <v>716</v>
      </c>
      <c r="C5" s="8" t="n">
        <v>3</v>
      </c>
      <c r="D5" s="8" t="n">
        <v>4</v>
      </c>
      <c r="E5" s="13" t="n">
        <f aca="false">C5*D5</f>
        <v>12</v>
      </c>
      <c r="F5" s="8" t="s">
        <v>717</v>
      </c>
      <c r="G5" s="8" t="s">
        <v>467</v>
      </c>
      <c r="H5" s="8" t="s">
        <v>504</v>
      </c>
      <c r="I5" s="8"/>
    </row>
    <row r="6" customFormat="false" ht="23.85" hidden="false" customHeight="false" outlineLevel="0" collapsed="false">
      <c r="A6" s="8" t="s">
        <v>718</v>
      </c>
      <c r="B6" s="8" t="s">
        <v>719</v>
      </c>
      <c r="C6" s="8" t="n">
        <v>3</v>
      </c>
      <c r="D6" s="8" t="n">
        <v>5</v>
      </c>
      <c r="E6" s="13" t="n">
        <f aca="false">C6*D6</f>
        <v>15</v>
      </c>
      <c r="F6" s="8" t="s">
        <v>720</v>
      </c>
      <c r="G6" s="8" t="s">
        <v>385</v>
      </c>
      <c r="H6" s="8" t="s">
        <v>504</v>
      </c>
      <c r="I6" s="8"/>
    </row>
    <row r="7" customFormat="false" ht="23.85" hidden="false" customHeight="false" outlineLevel="0" collapsed="false">
      <c r="A7" s="8" t="s">
        <v>721</v>
      </c>
      <c r="B7" s="8" t="s">
        <v>722</v>
      </c>
      <c r="C7" s="8" t="n">
        <v>4</v>
      </c>
      <c r="D7" s="8" t="n">
        <v>3</v>
      </c>
      <c r="E7" s="13" t="n">
        <f aca="false">C7*D7</f>
        <v>12</v>
      </c>
      <c r="F7" s="8" t="s">
        <v>723</v>
      </c>
      <c r="G7" s="8" t="s">
        <v>286</v>
      </c>
      <c r="H7" s="8" t="s">
        <v>504</v>
      </c>
      <c r="I7" s="8" t="s">
        <v>724</v>
      </c>
    </row>
    <row r="8" customFormat="false" ht="23.85" hidden="false" customHeight="false" outlineLevel="0" collapsed="false">
      <c r="A8" s="8" t="s">
        <v>725</v>
      </c>
      <c r="B8" s="8" t="s">
        <v>726</v>
      </c>
      <c r="C8" s="8" t="n">
        <v>3</v>
      </c>
      <c r="D8" s="8" t="n">
        <v>4</v>
      </c>
      <c r="E8" s="13" t="n">
        <f aca="false">C8*D8</f>
        <v>12</v>
      </c>
      <c r="F8" s="8" t="s">
        <v>727</v>
      </c>
      <c r="G8" s="8" t="s">
        <v>524</v>
      </c>
      <c r="H8" s="8" t="s">
        <v>504</v>
      </c>
      <c r="I8" s="8"/>
    </row>
    <row r="9" customFormat="false" ht="23.85" hidden="false" customHeight="false" outlineLevel="0" collapsed="false">
      <c r="A9" s="8" t="s">
        <v>728</v>
      </c>
      <c r="B9" s="8" t="s">
        <v>729</v>
      </c>
      <c r="C9" s="8" t="n">
        <v>4</v>
      </c>
      <c r="D9" s="8" t="n">
        <v>4</v>
      </c>
      <c r="E9" s="13" t="n">
        <f aca="false">C9*D9</f>
        <v>16</v>
      </c>
      <c r="F9" s="8" t="s">
        <v>730</v>
      </c>
      <c r="G9" s="8" t="s">
        <v>286</v>
      </c>
      <c r="H9" s="8" t="s">
        <v>504</v>
      </c>
      <c r="I9" s="8"/>
    </row>
    <row r="10" customFormat="false" ht="23.85" hidden="false" customHeight="false" outlineLevel="0" collapsed="false">
      <c r="A10" s="8" t="s">
        <v>731</v>
      </c>
      <c r="B10" s="8" t="s">
        <v>732</v>
      </c>
      <c r="C10" s="8" t="n">
        <v>3</v>
      </c>
      <c r="D10" s="8" t="n">
        <v>3</v>
      </c>
      <c r="E10" s="13" t="n">
        <f aca="false">C10*D10</f>
        <v>9</v>
      </c>
      <c r="F10" s="8" t="s">
        <v>733</v>
      </c>
      <c r="G10" s="8" t="s">
        <v>734</v>
      </c>
      <c r="H10" s="8" t="s">
        <v>504</v>
      </c>
      <c r="I10" s="8"/>
    </row>
    <row r="11" customFormat="false" ht="23.85" hidden="false" customHeight="false" outlineLevel="0" collapsed="false">
      <c r="A11" s="8" t="s">
        <v>735</v>
      </c>
      <c r="B11" s="8" t="s">
        <v>736</v>
      </c>
      <c r="C11" s="8" t="n">
        <v>2</v>
      </c>
      <c r="D11" s="8" t="n">
        <v>3</v>
      </c>
      <c r="E11" s="13" t="n">
        <f aca="false">C11*D11</f>
        <v>6</v>
      </c>
      <c r="F11" s="8" t="s">
        <v>737</v>
      </c>
      <c r="G11" s="8" t="s">
        <v>734</v>
      </c>
      <c r="H11" s="8" t="s">
        <v>504</v>
      </c>
      <c r="I11" s="8"/>
    </row>
    <row r="12" customFormat="false" ht="23.85" hidden="false" customHeight="false" outlineLevel="0" collapsed="false">
      <c r="A12" s="8" t="s">
        <v>738</v>
      </c>
      <c r="B12" s="8" t="s">
        <v>739</v>
      </c>
      <c r="C12" s="8" t="n">
        <v>3</v>
      </c>
      <c r="D12" s="8" t="n">
        <v>3</v>
      </c>
      <c r="E12" s="13" t="n">
        <f aca="false">C12*D12</f>
        <v>9</v>
      </c>
      <c r="F12" s="8" t="s">
        <v>740</v>
      </c>
      <c r="G12" s="8" t="s">
        <v>316</v>
      </c>
      <c r="H12" s="8" t="s">
        <v>504</v>
      </c>
      <c r="I12" s="8"/>
    </row>
    <row r="13" customFormat="false" ht="23.85" hidden="false" customHeight="false" outlineLevel="0" collapsed="false">
      <c r="A13" s="8" t="s">
        <v>741</v>
      </c>
      <c r="B13" s="8" t="s">
        <v>742</v>
      </c>
      <c r="C13" s="8" t="n">
        <v>3</v>
      </c>
      <c r="D13" s="8" t="n">
        <v>3</v>
      </c>
      <c r="E13" s="13" t="n">
        <f aca="false">C13*D13</f>
        <v>9</v>
      </c>
      <c r="F13" s="8" t="s">
        <v>743</v>
      </c>
      <c r="G13" s="8" t="s">
        <v>744</v>
      </c>
      <c r="H13" s="8" t="s">
        <v>504</v>
      </c>
      <c r="I13" s="8"/>
    </row>
    <row r="14" customFormat="false" ht="23.85" hidden="false" customHeight="false" outlineLevel="0" collapsed="false">
      <c r="A14" s="8" t="s">
        <v>745</v>
      </c>
      <c r="B14" s="8" t="s">
        <v>746</v>
      </c>
      <c r="C14" s="8" t="n">
        <v>3</v>
      </c>
      <c r="D14" s="8" t="n">
        <v>3</v>
      </c>
      <c r="E14" s="13" t="n">
        <f aca="false">C14*D14</f>
        <v>9</v>
      </c>
      <c r="F14" s="8" t="s">
        <v>747</v>
      </c>
      <c r="G14" s="8" t="s">
        <v>467</v>
      </c>
      <c r="H14" s="8" t="s">
        <v>504</v>
      </c>
      <c r="I14" s="8"/>
    </row>
    <row r="15" customFormat="false" ht="23.85" hidden="false" customHeight="false" outlineLevel="0" collapsed="false">
      <c r="A15" s="8" t="s">
        <v>748</v>
      </c>
      <c r="B15" s="8" t="s">
        <v>749</v>
      </c>
      <c r="C15" s="8" t="n">
        <v>3</v>
      </c>
      <c r="D15" s="8" t="n">
        <v>4</v>
      </c>
      <c r="E15" s="13" t="n">
        <f aca="false">C15*D15</f>
        <v>12</v>
      </c>
      <c r="F15" s="8" t="s">
        <v>750</v>
      </c>
      <c r="G15" s="8" t="s">
        <v>416</v>
      </c>
      <c r="H15" s="8" t="s">
        <v>504</v>
      </c>
      <c r="I15" s="8"/>
    </row>
    <row r="16" customFormat="false" ht="23.85" hidden="false" customHeight="false" outlineLevel="0" collapsed="false">
      <c r="A16" s="8" t="s">
        <v>751</v>
      </c>
      <c r="B16" s="8" t="s">
        <v>752</v>
      </c>
      <c r="C16" s="8" t="n">
        <v>2</v>
      </c>
      <c r="D16" s="8" t="n">
        <v>4</v>
      </c>
      <c r="E16" s="13" t="n">
        <f aca="false">C16*D16</f>
        <v>8</v>
      </c>
      <c r="F16" s="8" t="s">
        <v>753</v>
      </c>
      <c r="G16" s="8" t="s">
        <v>754</v>
      </c>
      <c r="H16" s="8" t="s">
        <v>504</v>
      </c>
      <c r="I16" s="8"/>
    </row>
    <row r="17" customFormat="false" ht="23.85" hidden="false" customHeight="false" outlineLevel="0" collapsed="false">
      <c r="A17" s="8" t="s">
        <v>755</v>
      </c>
      <c r="B17" s="8" t="s">
        <v>756</v>
      </c>
      <c r="C17" s="8" t="n">
        <v>3</v>
      </c>
      <c r="D17" s="8" t="n">
        <v>3</v>
      </c>
      <c r="E17" s="13" t="n">
        <f aca="false">C17*D17</f>
        <v>9</v>
      </c>
      <c r="F17" s="8" t="s">
        <v>757</v>
      </c>
      <c r="G17" s="8" t="s">
        <v>467</v>
      </c>
      <c r="H17" s="8" t="s">
        <v>504</v>
      </c>
      <c r="I17" s="8"/>
    </row>
    <row r="18" customFormat="false" ht="23.85" hidden="false" customHeight="false" outlineLevel="0" collapsed="false">
      <c r="A18" s="8" t="s">
        <v>758</v>
      </c>
      <c r="B18" s="8" t="s">
        <v>759</v>
      </c>
      <c r="C18" s="8" t="n">
        <v>3</v>
      </c>
      <c r="D18" s="8" t="n">
        <v>4</v>
      </c>
      <c r="E18" s="13" t="n">
        <f aca="false">C18*D18</f>
        <v>12</v>
      </c>
      <c r="F18" s="8" t="s">
        <v>760</v>
      </c>
      <c r="G18" s="8" t="s">
        <v>318</v>
      </c>
      <c r="H18" s="8" t="s">
        <v>504</v>
      </c>
      <c r="I18" s="8"/>
    </row>
    <row r="19" customFormat="false" ht="23.85" hidden="false" customHeight="false" outlineLevel="0" collapsed="false">
      <c r="A19" s="8" t="s">
        <v>761</v>
      </c>
      <c r="B19" s="8" t="s">
        <v>762</v>
      </c>
      <c r="C19" s="8" t="n">
        <v>2</v>
      </c>
      <c r="D19" s="8" t="n">
        <v>3</v>
      </c>
      <c r="E19" s="13" t="n">
        <f aca="false">C19*D19</f>
        <v>6</v>
      </c>
      <c r="F19" s="8" t="s">
        <v>763</v>
      </c>
      <c r="G19" s="8" t="s">
        <v>283</v>
      </c>
      <c r="H19" s="8" t="s">
        <v>504</v>
      </c>
      <c r="I19" s="8"/>
    </row>
  </sheetData>
  <mergeCells count="3">
    <mergeCell ref="A1:I1"/>
    <mergeCell ref="A2:I2"/>
    <mergeCell ref="A3:I3"/>
  </mergeCells>
  <conditionalFormatting sqref="E5:E300">
    <cfRule type="cellIs" priority="2" operator="greaterThanOrEqual" aboveAverage="0" equalAverage="0" bottom="0" percent="0" rank="0" text="" dxfId="3">
      <formula>15</formula>
    </cfRule>
    <cfRule type="cellIs" priority="3" operator="between" aboveAverage="0" equalAverage="0" bottom="0" percent="0" rank="0" text="" dxfId="2">
      <formula>8</formula>
      <formula>14</formula>
    </cfRule>
    <cfRule type="cellIs" priority="4" operator="lessThanOrEqual" aboveAverage="0" equalAverage="0" bottom="0" percent="0" rank="0" text="" dxfId="0">
      <formula>7</formula>
    </cfRule>
  </conditionalFormatting>
  <dataValidations count="2">
    <dataValidation allowBlank="true" errorStyle="stop" operator="between" showDropDown="false" showErrorMessage="false" showInputMessage="false" sqref="C5:D300" type="list">
      <formula1>"1,2,3,4,5"</formula1>
      <formula2>0</formula2>
    </dataValidation>
    <dataValidation allowBlank="true" errorStyle="stop" operator="between" showDropDown="false" showErrorMessage="false" showInputMessage="false" sqref="H5:H300" type="list">
      <formula1>"Active,Mitigated,Accepted,Closed"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24" hidden="false" customHeight="true" outlineLevel="0" collapsed="false">
      <c r="A1" s="5" t="s">
        <v>764</v>
      </c>
      <c r="B1" s="5"/>
      <c r="C1" s="5"/>
      <c r="D1" s="5"/>
    </row>
    <row r="2" customFormat="false" ht="15" hidden="false" customHeight="false" outlineLevel="0" collapsed="false">
      <c r="A2" s="6" t="s">
        <v>765</v>
      </c>
      <c r="B2" s="6"/>
      <c r="C2" s="6"/>
      <c r="D2" s="6"/>
    </row>
    <row r="3" customFormat="false" ht="15" hidden="false" customHeight="false" outlineLevel="0" collapsed="false">
      <c r="A3" s="6" t="s">
        <v>766</v>
      </c>
      <c r="B3" s="6"/>
      <c r="C3" s="6"/>
      <c r="D3" s="6"/>
    </row>
    <row r="4" customFormat="false" ht="27.75" hidden="false" customHeight="true" outlineLevel="0" collapsed="false">
      <c r="A4" s="14" t="s">
        <v>767</v>
      </c>
      <c r="B4" s="14" t="s">
        <v>768</v>
      </c>
      <c r="C4" s="14" t="s">
        <v>769</v>
      </c>
      <c r="D4" s="14" t="s">
        <v>63</v>
      </c>
    </row>
    <row r="5" customFormat="false" ht="15" hidden="false" customHeight="false" outlineLevel="0" collapsed="false">
      <c r="A5" s="15" t="s">
        <v>770</v>
      </c>
      <c r="B5" s="16"/>
      <c r="C5" s="16"/>
      <c r="D5" s="16"/>
    </row>
    <row r="6" customFormat="false" ht="15" hidden="false" customHeight="false" outlineLevel="0" collapsed="false">
      <c r="A6" s="15" t="s">
        <v>770</v>
      </c>
      <c r="B6" s="16"/>
      <c r="C6" s="16"/>
      <c r="D6" s="16"/>
    </row>
    <row r="7" customFormat="false" ht="15" hidden="false" customHeight="false" outlineLevel="0" collapsed="false">
      <c r="A7" s="17" t="s">
        <v>771</v>
      </c>
      <c r="B7" s="18" t="n">
        <f aca="false">'4. Velocity Tracker'!B25</f>
        <v>0</v>
      </c>
      <c r="C7" s="18" t="s">
        <v>772</v>
      </c>
      <c r="D7" s="19" t="s">
        <v>773</v>
      </c>
    </row>
    <row r="8" customFormat="false" ht="15" hidden="false" customHeight="false" outlineLevel="0" collapsed="false">
      <c r="A8" s="17" t="s">
        <v>774</v>
      </c>
      <c r="B8" s="18" t="n">
        <f aca="false">'4. Velocity Tracker'!B26</f>
        <v>0</v>
      </c>
      <c r="C8" s="18" t="s">
        <v>775</v>
      </c>
      <c r="D8" s="19" t="s">
        <v>776</v>
      </c>
    </row>
    <row r="9" customFormat="false" ht="15" hidden="false" customHeight="false" outlineLevel="0" collapsed="false">
      <c r="A9" s="17" t="s">
        <v>777</v>
      </c>
      <c r="B9" s="18" t="n">
        <f aca="false">'1. Story Backlog'!B50</f>
        <v>300</v>
      </c>
      <c r="C9" s="18" t="s">
        <v>778</v>
      </c>
      <c r="D9" s="19" t="s">
        <v>779</v>
      </c>
    </row>
    <row r="10" customFormat="false" ht="15" hidden="false" customHeight="false" outlineLevel="0" collapsed="false">
      <c r="A10" s="17" t="s">
        <v>780</v>
      </c>
      <c r="B10" s="18" t="n">
        <f aca="false">'1. Story Backlog'!B52</f>
        <v>4</v>
      </c>
      <c r="C10" s="18" t="s">
        <v>781</v>
      </c>
      <c r="D10" s="19"/>
    </row>
    <row r="12" customFormat="false" ht="15" hidden="false" customHeight="false" outlineLevel="0" collapsed="false">
      <c r="A12" s="15" t="s">
        <v>782</v>
      </c>
      <c r="B12" s="16"/>
      <c r="C12" s="16"/>
      <c r="D12" s="16"/>
    </row>
    <row r="13" customFormat="false" ht="15" hidden="false" customHeight="false" outlineLevel="0" collapsed="false">
      <c r="A13" s="17" t="s">
        <v>783</v>
      </c>
      <c r="B13" s="18" t="n">
        <f aca="false">'4. Velocity Tracker'!B27</f>
        <v>0</v>
      </c>
      <c r="C13" s="18" t="s">
        <v>784</v>
      </c>
      <c r="D13" s="19"/>
    </row>
    <row r="14" customFormat="false" ht="15" hidden="false" customHeight="false" outlineLevel="0" collapsed="false">
      <c r="A14" s="17" t="s">
        <v>785</v>
      </c>
      <c r="B14" s="18" t="n">
        <f aca="false">'4. Velocity Tracker'!B28</f>
        <v>0</v>
      </c>
      <c r="C14" s="18" t="s">
        <v>786</v>
      </c>
      <c r="D14" s="19"/>
    </row>
    <row r="15" customFormat="false" ht="15" hidden="false" customHeight="false" outlineLevel="0" collapsed="false">
      <c r="A15" s="17" t="s">
        <v>787</v>
      </c>
      <c r="B15" s="18" t="n">
        <f aca="false">COUNTIFS('9. Code Review Findings'!F5:F200,"High",'9. Code Review Findings'!I5:I200,"Open")+COUNTIFS('9. Code Review Findings'!F5:F200,"High",'9. Code Review Findings'!I5:I200,"In Progress")</f>
        <v>3</v>
      </c>
      <c r="C15" s="18" t="s">
        <v>788</v>
      </c>
      <c r="D15" s="19" t="s">
        <v>789</v>
      </c>
    </row>
    <row r="17" customFormat="false" ht="15" hidden="false" customHeight="false" outlineLevel="0" collapsed="false">
      <c r="A17" s="15" t="s">
        <v>790</v>
      </c>
      <c r="B17" s="16"/>
      <c r="C17" s="16"/>
      <c r="D17" s="16"/>
    </row>
    <row r="18" customFormat="false" ht="15" hidden="false" customHeight="false" outlineLevel="0" collapsed="false">
      <c r="A18" s="17" t="s">
        <v>791</v>
      </c>
      <c r="B18" s="18" t="n">
        <f aca="false">COUNTIF('6. Impediment Log'!H5:H300,"Open")+COUNTIF('6. Impediment Log'!H5:H300,"Escalated")</f>
        <v>6</v>
      </c>
      <c r="C18" s="18" t="s">
        <v>792</v>
      </c>
      <c r="D18" s="19" t="s">
        <v>793</v>
      </c>
    </row>
    <row r="19" customFormat="false" ht="15" hidden="false" customHeight="false" outlineLevel="0" collapsed="false">
      <c r="A19" s="17" t="s">
        <v>794</v>
      </c>
      <c r="B19" s="18" t="n">
        <f aca="false">COUNTIF('6. Impediment Log'!H5:H300,"Escalated")</f>
        <v>0</v>
      </c>
      <c r="C19" s="18" t="s">
        <v>795</v>
      </c>
      <c r="D19" s="19"/>
    </row>
    <row r="20" customFormat="false" ht="15" hidden="false" customHeight="false" outlineLevel="0" collapsed="false">
      <c r="A20" s="17" t="s">
        <v>796</v>
      </c>
      <c r="B20" s="18" t="n">
        <f aca="false">SUMIF('8. Tech Debt Register'!J5:J300,"Open",'8. Tech Debt Register'!G5:G300)</f>
        <v>63</v>
      </c>
      <c r="C20" s="18" t="s">
        <v>797</v>
      </c>
      <c r="D20" s="19" t="s">
        <v>798</v>
      </c>
    </row>
    <row r="21" customFormat="false" ht="15" hidden="false" customHeight="false" outlineLevel="0" collapsed="false">
      <c r="A21" s="17" t="s">
        <v>799</v>
      </c>
      <c r="B21" s="18" t="n">
        <f aca="false">COUNTIFS('8. Tech Debt Register'!D5:D300,"CRITICAL",'8. Tech Debt Register'!J5:J300,"Open")</f>
        <v>1</v>
      </c>
      <c r="C21" s="18" t="s">
        <v>795</v>
      </c>
      <c r="D21" s="19" t="s">
        <v>800</v>
      </c>
    </row>
    <row r="22" customFormat="false" ht="15" hidden="false" customHeight="false" outlineLevel="0" collapsed="false">
      <c r="A22" s="17" t="s">
        <v>801</v>
      </c>
      <c r="B22" s="18" t="n">
        <f aca="false">COUNTIFS('8. Tech Debt Register'!C5:C300,"SAFETY",'8. Tech Debt Register'!J5:J300,"Open")</f>
        <v>1</v>
      </c>
      <c r="C22" s="18" t="s">
        <v>795</v>
      </c>
      <c r="D22" s="19" t="s">
        <v>802</v>
      </c>
    </row>
    <row r="24" customFormat="false" ht="15" hidden="false" customHeight="false" outlineLevel="0" collapsed="false">
      <c r="A24" s="15" t="s">
        <v>803</v>
      </c>
      <c r="B24" s="16"/>
      <c r="C24" s="16"/>
      <c r="D24" s="16"/>
    </row>
    <row r="25" customFormat="false" ht="15" hidden="false" customHeight="false" outlineLevel="0" collapsed="false">
      <c r="A25" s="17" t="s">
        <v>804</v>
      </c>
      <c r="B25" s="18" t="n">
        <f aca="false">COUNTIFS('10. Build Phase Risks'!E5:E300,"&gt;=15",'10. Build Phase Risks'!H5:H300,"Active")</f>
        <v>2</v>
      </c>
      <c r="C25" s="18" t="s">
        <v>805</v>
      </c>
      <c r="D25" s="19"/>
    </row>
    <row r="26" customFormat="false" ht="15" hidden="false" customHeight="false" outlineLevel="0" collapsed="false">
      <c r="A26" s="17" t="s">
        <v>806</v>
      </c>
      <c r="B26" s="18" t="n">
        <f aca="false">COUNTIFS('10. Build Phase Risks'!E5:E300,"&gt;=8",'10. Build Phase Risks'!E5:E300,"&lt;15",'10. Build Phase Risks'!H5:H300,"Active")</f>
        <v>11</v>
      </c>
      <c r="C26" s="18" t="s">
        <v>788</v>
      </c>
      <c r="D26" s="19"/>
    </row>
    <row r="28" customFormat="false" ht="15" hidden="false" customHeight="false" outlineLevel="0" collapsed="false">
      <c r="A28" s="15" t="s">
        <v>807</v>
      </c>
      <c r="B28" s="16"/>
      <c r="C28" s="16"/>
      <c r="D28" s="16"/>
    </row>
    <row r="29" customFormat="false" ht="15" hidden="false" customHeight="false" outlineLevel="0" collapsed="false">
      <c r="A29" s="17" t="s">
        <v>808</v>
      </c>
      <c r="B29" s="18" t="n">
        <f aca="false">COUNTIF('7. Feature Flag Register'!I5:I200,"Active")</f>
        <v>9</v>
      </c>
      <c r="C29" s="18" t="s">
        <v>778</v>
      </c>
      <c r="D29" s="19"/>
    </row>
    <row r="30" customFormat="false" ht="15" hidden="false" customHeight="false" outlineLevel="0" collapsed="false">
      <c r="A30" s="17" t="s">
        <v>809</v>
      </c>
      <c r="B30" s="18" t="n">
        <f aca="false">COUNTIF('7. Feature Flag Register'!I5:I200,"Permanent")</f>
        <v>3</v>
      </c>
      <c r="C30" s="18" t="s">
        <v>778</v>
      </c>
      <c r="D30" s="19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2026-04-21T06:13:41Z</dcterms:created>
  <dc:creator>openpyxl</dc:creator>
  <dc:description/>
  <dc:language>en-US</dc:language>
  <cp:lastModifiedBy/>
  <dcterms:modified xsi:type="dcterms:W3CDTF">2026-04-21T06:13:41Z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