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ADR Log" sheetId="2" state="visible" r:id="rId4"/>
    <sheet name="2. Epic Register" sheetId="3" state="visible" r:id="rId5"/>
    <sheet name="3. Architecture Diagrams" sheetId="4" state="visible" r:id="rId6"/>
    <sheet name="4. Technical Spikes" sheetId="5" state="visible" r:id="rId7"/>
    <sheet name="5. Technology Selection" sheetId="6" state="visible" r:id="rId8"/>
    <sheet name="6. Design Reviews" sheetId="7" state="visible" r:id="rId9"/>
    <sheet name="7. Cross-Cutting Matrix" sheetId="8" state="visible" r:id="rId10"/>
    <sheet name="8. Integration Contracts" sheetId="9" state="visible" r:id="rId11"/>
    <sheet name="9. Data Migration Plan" sheetId="10" state="visible" r:id="rId12"/>
    <sheet name="10. NERC CIP Register" sheetId="11" state="visible" r:id="rId13"/>
    <sheet name="11. Design Risk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<sst xmlns="http://schemas.openxmlformats.org/spreadsheetml/2006/main" count="1734" uniqueCount="1173">
  <si>
    <t xml:space="preserve">Phase 2 — Detailed Design</t>
  </si>
  <si>
    <t xml:space="preserve">Purpose</t>
  </si>
  <si>
    <t xml:space="preserve">Translate validated Discovery outputs into the architectural, data, integration, and epic-level decomposition needed for Build.</t>
  </si>
  <si>
    <t xml:space="preserve">Duration</t>
  </si>
  <si>
    <t xml:space="preserve">~6 months. Runs in parallel with platform foundation provisioning.</t>
  </si>
  <si>
    <t xml:space="preserve">Entry criteria</t>
  </si>
  <si>
    <t xml:space="preserve">Phase 1 Baseline Acceptance Memo signed. All CRITICAL gaps closed. Chief Architect in role. Senior Engineer Deputy designated.</t>
  </si>
  <si>
    <t xml:space="preserve">Exit criteria</t>
  </si>
  <si>
    <t xml:space="preserve">All MVP-scope ADRs accepted. MVP Epic set decomposed to initial story level. Design Authority Board approves Build commencement. Platform foundation operational.</t>
  </si>
  <si>
    <t xml:space="preserve">Tabs</t>
  </si>
  <si>
    <t xml:space="preserve">1. ADR Log</t>
  </si>
  <si>
    <t xml:space="preserve">Every architecture decision with status, alternatives, consequences, and dual signatures.</t>
  </si>
  <si>
    <t xml:space="preserve">2. Epic Register</t>
  </si>
  <si>
    <t xml:space="preserve">Feature-rollup Epics with MVP flag, priority, owner, sprint/quarter targeting, story count.</t>
  </si>
  <si>
    <t xml:space="preserve">3. Architecture Diagrams</t>
  </si>
  <si>
    <t xml:space="preserve">C4 diagram register: context, container, component, code-level. Version and publication location.</t>
  </si>
  <si>
    <t xml:space="preserve">4. Technical Spikes</t>
  </si>
  <si>
    <t xml:space="preserve">Time-boxed investigations for unknowns. Spike ID, question, duration, outcome.</t>
  </si>
  <si>
    <t xml:space="preserve">5. Technology Selection</t>
  </si>
  <si>
    <t xml:space="preserve">Stack decisions with evaluation criteria and rationale.</t>
  </si>
  <si>
    <t xml:space="preserve">6. Design Reviews</t>
  </si>
  <si>
    <t xml:space="preserve">Each DAB session: date, topic, participants, decisions, action items.</t>
  </si>
  <si>
    <t xml:space="preserve">7. Cross-Cutting Matrix</t>
  </si>
  <si>
    <t xml:space="preserve">Audit / observability / security / resilience design per component.</t>
  </si>
  <si>
    <t xml:space="preserve">8. Integration Contracts</t>
  </si>
  <si>
    <t xml:space="preserve">Per-integration contract version, schema, owner, signed-off.</t>
  </si>
  <si>
    <t xml:space="preserve">9. Data Migration Plan</t>
  </si>
  <si>
    <t xml:space="preserve">Per-entity migration approach, volume, dress-rehearsal targets.</t>
  </si>
  <si>
    <t xml:space="preserve">10. NERC CIP Register</t>
  </si>
  <si>
    <t xml:space="preserve">Component-by-component CIP applicability determination.</t>
  </si>
  <si>
    <t xml:space="preserve">11. Design Risks</t>
  </si>
  <si>
    <t xml:space="preserve">Phase 2-specific risks tracked separately from program risks.</t>
  </si>
  <si>
    <t xml:space="preserve">Discipline</t>
  </si>
  <si>
    <t xml:space="preserve">Dual signature</t>
  </si>
  <si>
    <t xml:space="preserve">Every ADR signed by Chief Architect + Senior Engineer Deputy. This is the explicit countermeasure against legacy-pattern drift.</t>
  </si>
  <si>
    <t xml:space="preserve">Design Authority Board (DAB)</t>
  </si>
  <si>
    <t xml:space="preserve">Weekly standing meeting. All significant ADRs go through DAB. External architect review at 3-month mark.</t>
  </si>
  <si>
    <t xml:space="preserve">Safety-critical gating</t>
  </si>
  <si>
    <t xml:space="preserve">Safety-critical design requires Product Council sign-off in addition to technical signatures.</t>
  </si>
  <si>
    <t xml:space="preserve">Legacy pattern vigilance</t>
  </si>
  <si>
    <t xml:space="preserve">P2-05 (Legacy Pattern Detection) run against every major design artifact. Findings flagged even when uncomfortable.</t>
  </si>
  <si>
    <t xml:space="preserve">Spike discipline</t>
  </si>
  <si>
    <t xml:space="preserve">Spikes are time-boxed. If a spike exceeds budget, it is halted and the learning is captured as-is.</t>
  </si>
  <si>
    <t xml:space="preserve">Architecture Decision Record Log</t>
  </si>
  <si>
    <t xml:space="preserve">Every architectural decision recorded. Dual signature required: Chief Architect + Senior Engineer Deputy. Safety-critical decisions also require Product Council.</t>
  </si>
  <si>
    <t xml:space="preserve">Status flow: Proposed → Under Review → Accepted → Superseded / Deprecated.</t>
  </si>
  <si>
    <t xml:space="preserve">ADR ID</t>
  </si>
  <si>
    <t xml:space="preserve">Title</t>
  </si>
  <si>
    <t xml:space="preserve">Category</t>
  </si>
  <si>
    <t xml:space="preserve">Status</t>
  </si>
  <si>
    <t xml:space="preserve">Date Proposed</t>
  </si>
  <si>
    <t xml:space="preserve">Date Accepted</t>
  </si>
  <si>
    <t xml:space="preserve">Chief Architect Sig</t>
  </si>
  <si>
    <t xml:space="preserve">Sr Eng Deputy Sig</t>
  </si>
  <si>
    <t xml:space="preserve">Safety-Critical?</t>
  </si>
  <si>
    <t xml:space="preserve">Product Council Sig</t>
  </si>
  <si>
    <t xml:space="preserve">Superseded By</t>
  </si>
  <si>
    <t xml:space="preserve">Summary</t>
  </si>
  <si>
    <t xml:space="preserve">Link</t>
  </si>
  <si>
    <t xml:space="preserve">ADR-001</t>
  </si>
  <si>
    <t xml:space="preserve">Primary programming language and framework: Java 21 + Spring Boot 3</t>
  </si>
  <si>
    <t xml:space="preserve">Platform</t>
  </si>
  <si>
    <t xml:space="preserve">Accepted</t>
  </si>
  <si>
    <t xml:space="preserve">2026-01-15</t>
  </si>
  <si>
    <t xml:space="preserve">2026-01-29</t>
  </si>
  <si>
    <t xml:space="preserve">CK</t>
  </si>
  <si>
    <t xml:space="preserve">RS</t>
  </si>
  <si>
    <t xml:space="preserve">N</t>
  </si>
  <si>
    <t xml:space="preserve">Team fluency; Spring ecosystem maturity; long-term support; NERC CIP-friendly tooling</t>
  </si>
  <si>
    <t xml:space="preserve">wiki/adr/001</t>
  </si>
  <si>
    <t xml:space="preserve">ADR-002</t>
  </si>
  <si>
    <t xml:space="preserve">Primary data store: PostgreSQL 16 with Patroni HA</t>
  </si>
  <si>
    <t xml:space="preserve">Open-source; mature HA; team experience; PITR; strong on-prem support</t>
  </si>
  <si>
    <t xml:space="preserve">wiki/adr/002</t>
  </si>
  <si>
    <t xml:space="preserve">ADR-003</t>
  </si>
  <si>
    <t xml:space="preserve">Messaging: Apache Kafka for event streaming</t>
  </si>
  <si>
    <t xml:space="preserve">2026-01-22</t>
  </si>
  <si>
    <t xml:space="preserve">2026-02-05</t>
  </si>
  <si>
    <t xml:space="preserve">Storm-day durability; SCADA event backbone; replay; team skills</t>
  </si>
  <si>
    <t xml:space="preserve">wiki/adr/003</t>
  </si>
  <si>
    <t xml:space="preserve">ADR-004</t>
  </si>
  <si>
    <t xml:space="preserve">Distributed cache: Redis for session and read-cache</t>
  </si>
  <si>
    <t xml:space="preserve">Low-latency UI; standard operational pattern</t>
  </si>
  <si>
    <t xml:space="preserve">wiki/adr/004</t>
  </si>
  <si>
    <t xml:space="preserve">ADR-005</t>
  </si>
  <si>
    <t xml:space="preserve">Deployment pattern: VM-based with Ansible orchestration (no containers)</t>
  </si>
  <si>
    <t xml:space="preserve">Deployment</t>
  </si>
  <si>
    <t xml:space="preserve">2026-02-12</t>
  </si>
  <si>
    <t xml:space="preserve">Organization constraint; NERC CIP boundary clarity; team Ansible expertise</t>
  </si>
  <si>
    <t xml:space="preserve">wiki/adr/005</t>
  </si>
  <si>
    <t xml:space="preserve">ADR-006</t>
  </si>
  <si>
    <t xml:space="preserve">Integration pattern for downstream systems: Transactional Outbox</t>
  </si>
  <si>
    <t xml:space="preserve">Integration</t>
  </si>
  <si>
    <t xml:space="preserve">2026-02-19</t>
  </si>
  <si>
    <t xml:space="preserve">Y</t>
  </si>
  <si>
    <t xml:space="preserve">BD</t>
  </si>
  <si>
    <t xml:space="preserve">Eliminates dual-write consistency risk; idempotent retry; at-least-once semantics with dedup</t>
  </si>
  <si>
    <t xml:space="preserve">wiki/adr/006</t>
  </si>
  <si>
    <t xml:space="preserve">ADR-007</t>
  </si>
  <si>
    <t xml:space="preserve">Audit architecture: Event-sourced audit log with immutable append-only store</t>
  </si>
  <si>
    <t xml:space="preserve">Security</t>
  </si>
  <si>
    <t xml:space="preserve">NERC CIP 7-year retention; tamper-evident; complete lineage; independent of operational store</t>
  </si>
  <si>
    <t xml:space="preserve">wiki/adr/007</t>
  </si>
  <si>
    <t xml:space="preserve">ADR-008</t>
  </si>
  <si>
    <t xml:space="preserve">Read model for reporting: CQRS with materialized views on replica</t>
  </si>
  <si>
    <t xml:space="preserve">Data</t>
  </si>
  <si>
    <t xml:space="preserve">2026-02-26</t>
  </si>
  <si>
    <t xml:space="preserve">Reporting isolation from operational load; storm-day resilience for operators</t>
  </si>
  <si>
    <t xml:space="preserve">wiki/adr/008</t>
  </si>
  <si>
    <t xml:space="preserve">ADR-009</t>
  </si>
  <si>
    <t xml:space="preserve">Enterprise Authentication: SAML 2.0 SSO + MFA via enterprise IdP</t>
  </si>
  <si>
    <t xml:space="preserve">Enterprise standard; CIP-compliant; centralized account lifecycle</t>
  </si>
  <si>
    <t xml:space="preserve">wiki/adr/009</t>
  </si>
  <si>
    <t xml:space="preserve">ADR-010</t>
  </si>
  <si>
    <t xml:space="preserve">Authorization model: Role-Based with attribute policies for district scope</t>
  </si>
  <si>
    <t xml:space="preserve">2026-03-05</t>
  </si>
  <si>
    <t xml:space="preserve">District scope critical; override logging requires first-class auth context</t>
  </si>
  <si>
    <t xml:space="preserve">wiki/adr/010</t>
  </si>
  <si>
    <t xml:space="preserve">ADR-011</t>
  </si>
  <si>
    <t xml:space="preserve">Secrets management: HashiCorp Vault</t>
  </si>
  <si>
    <t xml:space="preserve">On-prem; NERC CIP-friendly; integrates with Ansible pipeline</t>
  </si>
  <si>
    <t xml:space="preserve">wiki/adr/011</t>
  </si>
  <si>
    <t xml:space="preserve">ADR-012</t>
  </si>
  <si>
    <t xml:space="preserve">Observability stack: Prometheus + Grafana + ELK + Jaeger</t>
  </si>
  <si>
    <t xml:space="preserve">2026-03-12</t>
  </si>
  <si>
    <t xml:space="preserve">Open-source; on-prem; team fluency; integrates across stack</t>
  </si>
  <si>
    <t xml:space="preserve">wiki/adr/012</t>
  </si>
  <si>
    <t xml:space="preserve">ADR-013</t>
  </si>
  <si>
    <t xml:space="preserve">Service decomposition: Modular monolith with strategic service separation</t>
  </si>
  <si>
    <t xml:space="preserve">Architecture</t>
  </si>
  <si>
    <t xml:space="preserve">Operational simplicity for on-call; strategic services: SCADA ingestion, integration gateway, reporting, batch</t>
  </si>
  <si>
    <t xml:space="preserve">wiki/adr/013</t>
  </si>
  <si>
    <t xml:space="preserve">ADR-014</t>
  </si>
  <si>
    <t xml:space="preserve">Frontend framework: React with TypeScript; no SSR</t>
  </si>
  <si>
    <t xml:space="preserve">2026-03-19</t>
  </si>
  <si>
    <t xml:space="preserve">Team skills; component ecosystem; operator UI richness; no SEO requirement</t>
  </si>
  <si>
    <t xml:space="preserve">wiki/adr/014</t>
  </si>
  <si>
    <t xml:space="preserve">ADR-015</t>
  </si>
  <si>
    <t xml:space="preserve">API style: REST with OpenAPI contracts; gRPC for internal high-volume paths</t>
  </si>
  <si>
    <t xml:space="preserve">REST for broad integration compatibility; gRPC for SCADA ingestion performance</t>
  </si>
  <si>
    <t xml:space="preserve">wiki/adr/015</t>
  </si>
  <si>
    <t xml:space="preserve">ADR-016</t>
  </si>
  <si>
    <t xml:space="preserve">Schema migration tooling: Flyway with forward-only migrations</t>
  </si>
  <si>
    <t xml:space="preserve">2026-03-26</t>
  </si>
  <si>
    <t xml:space="preserve">Simpler operational model; reversals via compensating migrations; audit trail</t>
  </si>
  <si>
    <t xml:space="preserve">wiki/adr/016</t>
  </si>
  <si>
    <t xml:space="preserve">ADR-017</t>
  </si>
  <si>
    <t xml:space="preserve">Switching Step state machine: Explicit state machine library</t>
  </si>
  <si>
    <t xml:space="preserve">Safety</t>
  </si>
  <si>
    <t xml:space="preserve">Under Review</t>
  </si>
  <si>
    <t xml:space="preserve">Formal state machine reduces safety-critical logic defect surface; see SM-03 formalization</t>
  </si>
  <si>
    <t xml:space="preserve">wiki/adr/017</t>
  </si>
  <si>
    <t xml:space="preserve">ADR-018</t>
  </si>
  <si>
    <t xml:space="preserve">Reporting replica isolation: Separate physical PostgreSQL replica for reporting workload</t>
  </si>
  <si>
    <t xml:space="preserve">Prevents reporting queries from impacting operational SLOs during storm</t>
  </si>
  <si>
    <t xml:space="preserve">wiki/adr/018</t>
  </si>
  <si>
    <t xml:space="preserve">ADR-019</t>
  </si>
  <si>
    <t xml:space="preserve">Data migration approach: Phased with per-district cutover</t>
  </si>
  <si>
    <t xml:space="preserve">Migration</t>
  </si>
  <si>
    <t xml:space="preserve">Proposed</t>
  </si>
  <si>
    <t xml:space="preserve">2026-04-02</t>
  </si>
  <si>
    <t xml:space="preserve">Risk reduction; operator change absorption; parallel-run per district</t>
  </si>
  <si>
    <t xml:space="preserve">wiki/adr/019</t>
  </si>
  <si>
    <t xml:space="preserve">ADR-020</t>
  </si>
  <si>
    <t xml:space="preserve">NERC CIP boundary: Transmission subsystem in dedicated ESP with EAP</t>
  </si>
  <si>
    <t xml:space="preserve">Compliance</t>
  </si>
  <si>
    <t xml:space="preserve">Isolates CIP Medium Impact from Distribution; audit evidence simpler; EAP enforced on integration</t>
  </si>
  <si>
    <t xml:space="preserve">wiki/adr/020</t>
  </si>
  <si>
    <t xml:space="preserve">ADR-021</t>
  </si>
  <si>
    <t xml:space="preserve">Disaster Recovery posture: Warm standby with synchronous replication to DR</t>
  </si>
  <si>
    <t xml:space="preserve">2026-04-09</t>
  </si>
  <si>
    <t xml:space="preserve">RPO &lt;=5min; RTO &lt;=30min; automated failover per NFR-010/011</t>
  </si>
  <si>
    <t xml:space="preserve">wiki/adr/021</t>
  </si>
  <si>
    <t xml:space="preserve">ADR-022</t>
  </si>
  <si>
    <t xml:space="preserve">Feature flag strategy: Trunk-based with flags for runtime control</t>
  </si>
  <si>
    <t xml:space="preserve">Enables per-district phased cutover; safe rollout for large changes</t>
  </si>
  <si>
    <t xml:space="preserve">wiki/adr/022</t>
  </si>
  <si>
    <t xml:space="preserve">SUMMARY</t>
  </si>
  <si>
    <t xml:space="preserve">Total ADRs:</t>
  </si>
  <si>
    <t xml:space="preserve">Accepted:</t>
  </si>
  <si>
    <t xml:space="preserve">Under Review:</t>
  </si>
  <si>
    <t xml:space="preserve">Proposed:</t>
  </si>
  <si>
    <t xml:space="preserve">Safety-Critical:</t>
  </si>
  <si>
    <t xml:space="preserve">Safety-Critical Accepted:</t>
  </si>
  <si>
    <t xml:space="preserve">Epic Register</t>
  </si>
  <si>
    <t xml:space="preserve">Business-capability-aligned Epics targeted to program quarters. Updated from Phase 1 with sprint/quarter targeting.</t>
  </si>
  <si>
    <t xml:space="preserve">MVP Epics complete by Month 16. Non-MVP Epics span through Month 34.</t>
  </si>
  <si>
    <t xml:space="preserve">Epic ID</t>
  </si>
  <si>
    <t xml:space="preserve">Name</t>
  </si>
  <si>
    <t xml:space="preserve">Description</t>
  </si>
  <si>
    <t xml:space="preserve">Business Outcome</t>
  </si>
  <si>
    <t xml:space="preserve">Owner</t>
  </si>
  <si>
    <t xml:space="preserve">Priority</t>
  </si>
  <si>
    <t xml:space="preserve">MVP?</t>
  </si>
  <si>
    <t xml:space="preserve">Target Quarter</t>
  </si>
  <si>
    <t xml:space="preserve">Features Count</t>
  </si>
  <si>
    <t xml:space="preserve">Stories Count</t>
  </si>
  <si>
    <t xml:space="preserve">Story Points Total</t>
  </si>
  <si>
    <t xml:space="preserve">% Complete</t>
  </si>
  <si>
    <t xml:space="preserve">Notes</t>
  </si>
  <si>
    <t xml:space="preserve">E-OPS-01</t>
  </si>
  <si>
    <t xml:space="preserve">SCADA/EMS Event Ingestion</t>
  </si>
  <si>
    <t xml:space="preserve">Real-time ingestion with dedup and correlation</t>
  </si>
  <si>
    <t xml:space="preserve">SCADA events captured at storm volumes, no data loss</t>
  </si>
  <si>
    <t xml:space="preserve">Operations PO</t>
  </si>
  <si>
    <t xml:space="preserve">Must</t>
  </si>
  <si>
    <t xml:space="preserve">Q3Y1</t>
  </si>
  <si>
    <t xml:space="preserve">In Design</t>
  </si>
  <si>
    <t xml:space="preserve">Critical path; ADR-015 gRPC</t>
  </si>
  <si>
    <t xml:space="preserve">E-OPS-02</t>
  </si>
  <si>
    <t xml:space="preserve">Trouble Card Lifecycle</t>
  </si>
  <si>
    <t xml:space="preserve">Auto-creation to closure with state machine</t>
  </si>
  <si>
    <t xml:space="preserve">Every incident tracked and auditable</t>
  </si>
  <si>
    <t xml:space="preserve">E-OPS-03</t>
  </si>
  <si>
    <t xml:space="preserve">Switching Order Authoring</t>
  </si>
  <si>
    <t xml:space="preserve">Template-based authoring with validation</t>
  </si>
  <si>
    <t xml:space="preserve">Operators author safe, validated orders efficiently</t>
  </si>
  <si>
    <t xml:space="preserve">Q4Y1</t>
  </si>
  <si>
    <t xml:space="preserve">E-OPS-04</t>
  </si>
  <si>
    <t xml:space="preserve">Switching Order Execution</t>
  </si>
  <si>
    <t xml:space="preserve">Stepwise execution with pre/post-condition validation</t>
  </si>
  <si>
    <t xml:space="preserve">Unsafe preconditions block progress; safe execution tracked</t>
  </si>
  <si>
    <t xml:space="preserve">Q1Y2</t>
  </si>
  <si>
    <t xml:space="preserve">Highest safety concern; ADR-017</t>
  </si>
  <si>
    <t xml:space="preserve">E-OPS-05</t>
  </si>
  <si>
    <t xml:space="preserve">Clearance &amp; Tag Management</t>
  </si>
  <si>
    <t xml:space="preserve">Electronic issuance with device-scope enforcement</t>
  </si>
  <si>
    <t xml:space="preserve">Work authorization traceable and safe</t>
  </si>
  <si>
    <t xml:space="preserve">E-OPS-06</t>
  </si>
  <si>
    <t xml:space="preserve">Restoration Tracking</t>
  </si>
  <si>
    <t xml:space="preserve">Incident-to-normal with cause codes</t>
  </si>
  <si>
    <t xml:space="preserve">Complete restoration records for ops and regulatory</t>
  </si>
  <si>
    <t xml:space="preserve">Q2Y2</t>
  </si>
  <si>
    <t xml:space="preserve">Design</t>
  </si>
  <si>
    <t xml:space="preserve">E-OPS-07</t>
  </si>
  <si>
    <t xml:space="preserve">District Operator Dashboard</t>
  </si>
  <si>
    <t xml:space="preserve">Real-time situational awareness</t>
  </si>
  <si>
    <t xml:space="preserve">Single pane of glass for operators</t>
  </si>
  <si>
    <t xml:space="preserve">UX Lead + Ops PO</t>
  </si>
  <si>
    <t xml:space="preserve">UX critical</t>
  </si>
  <si>
    <t xml:space="preserve">E-OPS-08</t>
  </si>
  <si>
    <t xml:space="preserve">Operator Handoff</t>
  </si>
  <si>
    <t xml:space="preserve">Structured handoff with acknowledgment</t>
  </si>
  <si>
    <t xml:space="preserve">Shift transitions preserve context</t>
  </si>
  <si>
    <t xml:space="preserve">Should</t>
  </si>
  <si>
    <t xml:space="preserve">Q3Y2</t>
  </si>
  <si>
    <t xml:space="preserve">Backlog</t>
  </si>
  <si>
    <t xml:space="preserve">E-OPS-09</t>
  </si>
  <si>
    <t xml:space="preserve">Abnormal Config Tracking</t>
  </si>
  <si>
    <t xml:space="preserve">Track when network off-normal</t>
  </si>
  <si>
    <t xml:space="preserve">Visibility of in-progress work state</t>
  </si>
  <si>
    <t xml:space="preserve">E-OPS-10</t>
  </si>
  <si>
    <t xml:space="preserve">Scheduled Maintenance Planning</t>
  </si>
  <si>
    <t xml:space="preserve">Plan, approve, schedule planned outages</t>
  </si>
  <si>
    <t xml:space="preserve">Planned work coordinated without conflicts</t>
  </si>
  <si>
    <t xml:space="preserve">Q4Y2</t>
  </si>
  <si>
    <t xml:space="preserve">Post-MVP</t>
  </si>
  <si>
    <t xml:space="preserve">E-AST-01</t>
  </si>
  <si>
    <t xml:space="preserve">Distribution Feeder Management</t>
  </si>
  <si>
    <t xml:space="preserve">Feeder topology and devices</t>
  </si>
  <si>
    <t xml:space="preserve">Distribution model supports all switching</t>
  </si>
  <si>
    <t xml:space="preserve">Asset Mgmt PO</t>
  </si>
  <si>
    <t xml:space="preserve">E-AST-02</t>
  </si>
  <si>
    <t xml:space="preserve">Transmission Feeder Management</t>
  </si>
  <si>
    <t xml:space="preserve">Transmission with protection scheme awareness</t>
  </si>
  <si>
    <t xml:space="preserve">Transmission supported; CIP-compliant</t>
  </si>
  <si>
    <t xml:space="preserve">ADR-020 CIP boundary</t>
  </si>
  <si>
    <t xml:space="preserve">E-AST-03</t>
  </si>
  <si>
    <t xml:space="preserve">Di-Electric System Management</t>
  </si>
  <si>
    <t xml:space="preserve">Fluid systems with domain rules</t>
  </si>
  <si>
    <t xml:space="preserve">Di-Electric operations safe and compliant</t>
  </si>
  <si>
    <t xml:space="preserve">E-AST-04</t>
  </si>
  <si>
    <t xml:space="preserve">RTU &amp; Telephonic Line Mgmt</t>
  </si>
  <si>
    <t xml:space="preserve">SCADA comms infrastructure as assets</t>
  </si>
  <si>
    <t xml:space="preserve">SCADA blind spots visible</t>
  </si>
  <si>
    <t xml:space="preserve">E-AST-05</t>
  </si>
  <si>
    <t xml:space="preserve">Steam System Management</t>
  </si>
  <si>
    <t xml:space="preserve">Steam mains, valves, pressure zones</t>
  </si>
  <si>
    <t xml:space="preserve">Steam ops in switching model</t>
  </si>
  <si>
    <t xml:space="preserve">Q1Y3</t>
  </si>
  <si>
    <t xml:space="preserve">E-INT-01</t>
  </si>
  <si>
    <t xml:space="preserve">SCADA/EMS Integration</t>
  </si>
  <si>
    <t xml:space="preserve">Event consumption + state queries</t>
  </si>
  <si>
    <t xml:space="preserve">Reliable storm-volume integration</t>
  </si>
  <si>
    <t xml:space="preserve">Integration Lead</t>
  </si>
  <si>
    <t xml:space="preserve">Critical path</t>
  </si>
  <si>
    <t xml:space="preserve">E-INT-02</t>
  </si>
  <si>
    <t xml:space="preserve">Field Work System Integration</t>
  </si>
  <si>
    <t xml:space="preserve">Dispatch and status reconciliation</t>
  </si>
  <si>
    <t xml:space="preserve">Seamless dispatch and tracking</t>
  </si>
  <si>
    <t xml:space="preserve">E-INT-03</t>
  </si>
  <si>
    <t xml:space="preserve">GIS Integration</t>
  </si>
  <si>
    <t xml:space="preserve">Topology sync</t>
  </si>
  <si>
    <t xml:space="preserve">Current network topology reflected</t>
  </si>
  <si>
    <t xml:space="preserve">E-INT-04</t>
  </si>
  <si>
    <t xml:space="preserve">CIS Integration</t>
  </si>
  <si>
    <t xml:space="preserve">Customer lookup and impact calc</t>
  </si>
  <si>
    <t xml:space="preserve">Customer impact on cards accurate</t>
  </si>
  <si>
    <t xml:space="preserve">E-INT-05</t>
  </si>
  <si>
    <t xml:space="preserve">AMI Integration (outage confirmation)</t>
  </si>
  <si>
    <t xml:space="preserve">Smart meter outage signal ingestion</t>
  </si>
  <si>
    <t xml:space="preserve">Card accuracy improved via AMI</t>
  </si>
  <si>
    <t xml:space="preserve">Could</t>
  </si>
  <si>
    <t xml:space="preserve">Q2Y3</t>
  </si>
  <si>
    <t xml:space="preserve">Post-parity enhancement</t>
  </si>
  <si>
    <t xml:space="preserve">E-PLT-01</t>
  </si>
  <si>
    <t xml:space="preserve">Authentication &amp; Authorization</t>
  </si>
  <si>
    <t xml:space="preserve">SSO, RBAC, district scope</t>
  </si>
  <si>
    <t xml:space="preserve">Secure, auditable access control</t>
  </si>
  <si>
    <t xml:space="preserve">Security PO</t>
  </si>
  <si>
    <t xml:space="preserve">ADR-009/010</t>
  </si>
  <si>
    <t xml:space="preserve">E-PLT-02</t>
  </si>
  <si>
    <t xml:space="preserve">Audit &amp; Event Sourcing</t>
  </si>
  <si>
    <t xml:space="preserve">Immutable audit log</t>
  </si>
  <si>
    <t xml:space="preserve">Complete regulatory audit trail</t>
  </si>
  <si>
    <t xml:space="preserve">E-PLT-03</t>
  </si>
  <si>
    <t xml:space="preserve">Observability Platform</t>
  </si>
  <si>
    <t xml:space="preserve">Metrics, logs, traces, alerts</t>
  </si>
  <si>
    <t xml:space="preserve">Operational visibility for on-call</t>
  </si>
  <si>
    <t xml:space="preserve">Platform PO</t>
  </si>
  <si>
    <t xml:space="preserve">E-PLT-04</t>
  </si>
  <si>
    <t xml:space="preserve">Reporting &amp; Dashboards</t>
  </si>
  <si>
    <t xml:space="preserve">Regulatory and operational reporting</t>
  </si>
  <si>
    <t xml:space="preserve">SAIDI/SAIFI and operational KPIs</t>
  </si>
  <si>
    <t xml:space="preserve">Ops Reporting PO</t>
  </si>
  <si>
    <t xml:space="preserve">E-PLT-05</t>
  </si>
  <si>
    <t xml:space="preserve">Data Migration</t>
  </si>
  <si>
    <t xml:space="preserve">Legacy data migration to new schema</t>
  </si>
  <si>
    <t xml:space="preserve">Historical data preserved and queryable</t>
  </si>
  <si>
    <t xml:space="preserve">Data Migration Lead</t>
  </si>
  <si>
    <t xml:space="preserve">Per-district phased</t>
  </si>
  <si>
    <t xml:space="preserve">E-PLT-06</t>
  </si>
  <si>
    <t xml:space="preserve">Training &amp; Simulation</t>
  </si>
  <si>
    <t xml:space="preserve">Training environment and scenarios</t>
  </si>
  <si>
    <t xml:space="preserve">Operators trained prior to cutover</t>
  </si>
  <si>
    <t xml:space="preserve">OCM Lead</t>
  </si>
  <si>
    <t xml:space="preserve">Total Epics:</t>
  </si>
  <si>
    <t xml:space="preserve">MVP Epics:</t>
  </si>
  <si>
    <t xml:space="preserve">In Design:</t>
  </si>
  <si>
    <t xml:space="preserve">Total Story Points:</t>
  </si>
  <si>
    <t xml:space="preserve">MVP Story Points:</t>
  </si>
  <si>
    <t xml:space="preserve">Architecture Diagram Register</t>
  </si>
  <si>
    <t xml:space="preserve">C4 model diagrams: Context / Container / Component / Code. Every major diagram registered with version and link.</t>
  </si>
  <si>
    <t xml:space="preserve">Diagrams updated when corresponding ADRs change. Single source of truth in wiki/architecture/diagrams.</t>
  </si>
  <si>
    <t xml:space="preserve">Diagram ID</t>
  </si>
  <si>
    <t xml:space="preserve">C4 Level</t>
  </si>
  <si>
    <t xml:space="preserve">Scope / Area</t>
  </si>
  <si>
    <t xml:space="preserve">Version</t>
  </si>
  <si>
    <t xml:space="preserve">Last Updated</t>
  </si>
  <si>
    <t xml:space="preserve">Location / Link</t>
  </si>
  <si>
    <t xml:space="preserve">DG-001</t>
  </si>
  <si>
    <t xml:space="preserve">System Context Diagram</t>
  </si>
  <si>
    <t xml:space="preserve">Context</t>
  </si>
  <si>
    <t xml:space="preserve">Whole system</t>
  </si>
  <si>
    <t xml:space="preserve">1.0</t>
  </si>
  <si>
    <t xml:space="preserve">Published</t>
  </si>
  <si>
    <t xml:space="preserve">Chief Architect</t>
  </si>
  <si>
    <t xml:space="preserve">2026-02-15</t>
  </si>
  <si>
    <t xml:space="preserve">wiki/arch/c4-context</t>
  </si>
  <si>
    <t xml:space="preserve">DG-002</t>
  </si>
  <si>
    <t xml:space="preserve">Container Diagram</t>
  </si>
  <si>
    <t xml:space="preserve">Container</t>
  </si>
  <si>
    <t xml:space="preserve">0.8</t>
  </si>
  <si>
    <t xml:space="preserve">In Review</t>
  </si>
  <si>
    <t xml:space="preserve">2026-03-20</t>
  </si>
  <si>
    <t xml:space="preserve">wiki/arch/c4-container</t>
  </si>
  <si>
    <t xml:space="preserve">DG-003</t>
  </si>
  <si>
    <t xml:space="preserve">Component Diagram - SCADA Ingestion Service</t>
  </si>
  <si>
    <t xml:space="preserve">Component</t>
  </si>
  <si>
    <t xml:space="preserve">SCADA ingestion service</t>
  </si>
  <si>
    <t xml:space="preserve">0.7</t>
  </si>
  <si>
    <t xml:space="preserve">Integration Architect</t>
  </si>
  <si>
    <t xml:space="preserve">2026-03-25</t>
  </si>
  <si>
    <t xml:space="preserve">wiki/arch/comp/scada</t>
  </si>
  <si>
    <t xml:space="preserve">DG-004</t>
  </si>
  <si>
    <t xml:space="preserve">Component Diagram - Trouble Card Module</t>
  </si>
  <si>
    <t xml:space="preserve">Card module (in monolith)</t>
  </si>
  <si>
    <t xml:space="preserve">0.5</t>
  </si>
  <si>
    <t xml:space="preserve">Draft</t>
  </si>
  <si>
    <t xml:space="preserve">Sr Eng Deputy</t>
  </si>
  <si>
    <t xml:space="preserve">2026-03-28</t>
  </si>
  <si>
    <t xml:space="preserve">wiki/arch/comp/card</t>
  </si>
  <si>
    <t xml:space="preserve">DG-005</t>
  </si>
  <si>
    <t xml:space="preserve">Component Diagram - Switching Order Module</t>
  </si>
  <si>
    <t xml:space="preserve">Switching order + step modules</t>
  </si>
  <si>
    <t xml:space="preserve">0.3</t>
  </si>
  <si>
    <t xml:space="preserve">2026-04-01</t>
  </si>
  <si>
    <t xml:space="preserve">wiki/arch/comp/sword</t>
  </si>
  <si>
    <t xml:space="preserve">DG-006</t>
  </si>
  <si>
    <t xml:space="preserve">Component Diagram - Clearance Module</t>
  </si>
  <si>
    <t xml:space="preserve">Clearance module</t>
  </si>
  <si>
    <t xml:space="preserve">0.2</t>
  </si>
  <si>
    <t xml:space="preserve">Sr Eng</t>
  </si>
  <si>
    <t xml:space="preserve">wiki/arch/comp/clr</t>
  </si>
  <si>
    <t xml:space="preserve">DG-007</t>
  </si>
  <si>
    <t xml:space="preserve">Component Diagram - Integration Gateway</t>
  </si>
  <si>
    <t xml:space="preserve">Integration gateway service</t>
  </si>
  <si>
    <t xml:space="preserve">2026-04-03</t>
  </si>
  <si>
    <t xml:space="preserve">wiki/arch/comp/intgw</t>
  </si>
  <si>
    <t xml:space="preserve">DG-008</t>
  </si>
  <si>
    <t xml:space="preserve">Component Diagram - Audit Service</t>
  </si>
  <si>
    <t xml:space="preserve">Event-sourced audit log</t>
  </si>
  <si>
    <t xml:space="preserve">Security Architect</t>
  </si>
  <si>
    <t xml:space="preserve">2026-04-04</t>
  </si>
  <si>
    <t xml:space="preserve">wiki/arch/comp/audit</t>
  </si>
  <si>
    <t xml:space="preserve">DG-009</t>
  </si>
  <si>
    <t xml:space="preserve">Deployment Diagram - Production</t>
  </si>
  <si>
    <t xml:space="preserve">Prod VMs and networking</t>
  </si>
  <si>
    <t xml:space="preserve">0.6</t>
  </si>
  <si>
    <t xml:space="preserve">Infrastructure Architect</t>
  </si>
  <si>
    <t xml:space="preserve">2026-03-22</t>
  </si>
  <si>
    <t xml:space="preserve">wiki/arch/deployment/prod</t>
  </si>
  <si>
    <t xml:space="preserve">DG-010</t>
  </si>
  <si>
    <t xml:space="preserve">Deployment Diagram - DR Site</t>
  </si>
  <si>
    <t xml:space="preserve">DR site VMs and replication</t>
  </si>
  <si>
    <t xml:space="preserve">0.4</t>
  </si>
  <si>
    <t xml:space="preserve">wiki/arch/deployment/dr</t>
  </si>
  <si>
    <t xml:space="preserve">DG-011</t>
  </si>
  <si>
    <t xml:space="preserve">Data Flow - SCADA Event to Card</t>
  </si>
  <si>
    <t xml:space="preserve">Flow</t>
  </si>
  <si>
    <t xml:space="preserve">End-to-end card creation flow</t>
  </si>
  <si>
    <t xml:space="preserve">2026-03-18</t>
  </si>
  <si>
    <t xml:space="preserve">wiki/arch/flows/scada-card</t>
  </si>
  <si>
    <t xml:space="preserve">DG-012</t>
  </si>
  <si>
    <t xml:space="preserve">Data Flow - Switching Order Execution</t>
  </si>
  <si>
    <t xml:space="preserve">End-to-end step execution flow</t>
  </si>
  <si>
    <t xml:space="preserve">wiki/arch/flows/sword-exec</t>
  </si>
  <si>
    <t xml:space="preserve">DG-013</t>
  </si>
  <si>
    <t xml:space="preserve">State Diagram - Switching Order</t>
  </si>
  <si>
    <t xml:space="preserve">State</t>
  </si>
  <si>
    <t xml:space="preserve">Switching order state machine (SM-02)</t>
  </si>
  <si>
    <t xml:space="preserve">0.9</t>
  </si>
  <si>
    <t xml:space="preserve">2026-03-30</t>
  </si>
  <si>
    <t xml:space="preserve">wiki/arch/state/sword</t>
  </si>
  <si>
    <t xml:space="preserve">DG-014</t>
  </si>
  <si>
    <t xml:space="preserve">State Diagram - Switching Step</t>
  </si>
  <si>
    <t xml:space="preserve">Switching step state machine (SM-03)</t>
  </si>
  <si>
    <t xml:space="preserve">wiki/arch/state/swstep</t>
  </si>
  <si>
    <t xml:space="preserve">DG-015</t>
  </si>
  <si>
    <t xml:space="preserve">ERD - Core Data Model</t>
  </si>
  <si>
    <t xml:space="preserve">Core entities across domains</t>
  </si>
  <si>
    <t xml:space="preserve">Data Architect</t>
  </si>
  <si>
    <t xml:space="preserve">wiki/arch/data/erd-core</t>
  </si>
  <si>
    <t xml:space="preserve">DG-016</t>
  </si>
  <si>
    <t xml:space="preserve">Network Topology Diagram</t>
  </si>
  <si>
    <t xml:space="preserve">Network</t>
  </si>
  <si>
    <t xml:space="preserve">VLANs, ESPs, EAPs, firewalls</t>
  </si>
  <si>
    <t xml:space="preserve">wiki/arch/net/topology</t>
  </si>
  <si>
    <t xml:space="preserve">Technical Spike Tracker</t>
  </si>
  <si>
    <t xml:space="preserve">Time-boxed investigations to resolve design unknowns. Spike must produce a specific decision or learning. When budget exceeded, spike halts — learning captured as-is.</t>
  </si>
  <si>
    <t xml:space="preserve">Spike outputs feed ADRs, integration contracts, or data model decisions. Spikes are NOT for prototyping features.</t>
  </si>
  <si>
    <t xml:space="preserve">Spike ID</t>
  </si>
  <si>
    <t xml:space="preserve">Question</t>
  </si>
  <si>
    <t xml:space="preserve">Budget (days)</t>
  </si>
  <si>
    <t xml:space="preserve">Actual (days)</t>
  </si>
  <si>
    <t xml:space="preserve">Started</t>
  </si>
  <si>
    <t xml:space="preserve">Completed</t>
  </si>
  <si>
    <t xml:space="preserve">Outcome</t>
  </si>
  <si>
    <t xml:space="preserve">Decision / Learning</t>
  </si>
  <si>
    <t xml:space="preserve">Downstream Artifact</t>
  </si>
  <si>
    <t xml:space="preserve">SP-01</t>
  </si>
  <si>
    <t xml:space="preserve">Can Kafka sustain 5,000 events/sec with 3-broker cluster on our hardware?</t>
  </si>
  <si>
    <t xml:space="preserve">2026-02-03</t>
  </si>
  <si>
    <t xml:space="preserve">2026-02-06</t>
  </si>
  <si>
    <t xml:space="preserve">Sr Eng A</t>
  </si>
  <si>
    <t xml:space="preserve">Confirmed</t>
  </si>
  <si>
    <t xml:space="preserve">Yes with partition count &gt;=6 and tuned producer config; tested to 6,500 e/s</t>
  </si>
  <si>
    <t xml:space="preserve">ADR-003 ratified</t>
  </si>
  <si>
    <t xml:space="preserve">SP-02</t>
  </si>
  <si>
    <t xml:space="preserve">PostgreSQL Patroni failover duration under SCADA ingestion load</t>
  </si>
  <si>
    <t xml:space="preserve">2026-02-10</t>
  </si>
  <si>
    <t xml:space="preserve">DBA + Sr Eng</t>
  </si>
  <si>
    <t xml:space="preserve">Failover &lt; 25s under load; acceptable for RTO</t>
  </si>
  <si>
    <t xml:space="preserve">ADR-002 ratified</t>
  </si>
  <si>
    <t xml:space="preserve">SP-03</t>
  </si>
  <si>
    <t xml:space="preserve">SCADA vendor stream API options: native vs. proxy?</t>
  </si>
  <si>
    <t xml:space="preserve">2026-02-17</t>
  </si>
  <si>
    <t xml:space="preserve">2026-02-23</t>
  </si>
  <si>
    <t xml:space="preserve">Decision</t>
  </si>
  <si>
    <t xml:space="preserve">Native stream available; proxy adds 200ms latency and no benefit</t>
  </si>
  <si>
    <t xml:space="preserve">Integration contract INT-01</t>
  </si>
  <si>
    <t xml:space="preserve">SP-04</t>
  </si>
  <si>
    <t xml:space="preserve">CQRS implementation: synchronous projection vs. async via Kafka?</t>
  </si>
  <si>
    <t xml:space="preserve">2026-02-24</t>
  </si>
  <si>
    <t xml:space="preserve">2026-02-27</t>
  </si>
  <si>
    <t xml:space="preserve">Async via Kafka; projection lag &lt; 1s acceptable for reporting</t>
  </si>
  <si>
    <t xml:space="preserve">SP-05</t>
  </si>
  <si>
    <t xml:space="preserve">Can we use legacy device-model export for initial data migration seed?</t>
  </si>
  <si>
    <t xml:space="preserve">2026-03-02</t>
  </si>
  <si>
    <t xml:space="preserve">2026-03-06</t>
  </si>
  <si>
    <t xml:space="preserve">Data Engineer</t>
  </si>
  <si>
    <t xml:space="preserve">Partial</t>
  </si>
  <si>
    <t xml:space="preserve">Yes for 80% of devices; edge cases need manual mapping</t>
  </si>
  <si>
    <t xml:space="preserve">Migration plan E-PLT-05</t>
  </si>
  <si>
    <t xml:space="preserve">SP-06</t>
  </si>
  <si>
    <t xml:space="preserve">State machine library evaluation: Spring Statemachine vs. custom</t>
  </si>
  <si>
    <t xml:space="preserve">2026-03-09</t>
  </si>
  <si>
    <t xml:space="preserve">2026-03-13</t>
  </si>
  <si>
    <t xml:space="preserve">Custom lightweight — Spring Statemachine overhead not justified; traceability easier with custom</t>
  </si>
  <si>
    <t xml:space="preserve">ADR-017 (draft)</t>
  </si>
  <si>
    <t xml:space="preserve">SP-07</t>
  </si>
  <si>
    <t xml:space="preserve">Can existing enterprise SSO IdP support our session requirements?</t>
  </si>
  <si>
    <t xml:space="preserve">2026-03-16</t>
  </si>
  <si>
    <t xml:space="preserve">Yes with current configuration; MFA enforced for privileged roles</t>
  </si>
  <si>
    <t xml:space="preserve">SP-08</t>
  </si>
  <si>
    <t xml:space="preserve">Field Work API: does it support idempotent dispatch?</t>
  </si>
  <si>
    <t xml:space="preserve">2026-03-23</t>
  </si>
  <si>
    <t xml:space="preserve">Idempotency on create; update semantics ambiguous - need vendor clarification</t>
  </si>
  <si>
    <t xml:space="preserve">Integration contract INT-02 + vendor ticket</t>
  </si>
  <si>
    <t xml:space="preserve">SP-09</t>
  </si>
  <si>
    <t xml:space="preserve">Switching step precondition library: data-driven vs. code-driven?</t>
  </si>
  <si>
    <t xml:space="preserve">Not Started</t>
  </si>
  <si>
    <t xml:space="preserve">SP-10</t>
  </si>
  <si>
    <t xml:space="preserve">Outbox pattern implementation: library vs. custom?</t>
  </si>
  <si>
    <t xml:space="preserve">ADR-006 implementation detail</t>
  </si>
  <si>
    <t xml:space="preserve">SP-11</t>
  </si>
  <si>
    <t xml:space="preserve">Report replica lag under storm-day write volume</t>
  </si>
  <si>
    <t xml:space="preserve">DBA</t>
  </si>
  <si>
    <t xml:space="preserve">SP-12</t>
  </si>
  <si>
    <t xml:space="preserve">Feature flag framework evaluation (LaunchDarkly OSS vs. Unleash vs. custom)</t>
  </si>
  <si>
    <t xml:space="preserve">Platform Tech Lead</t>
  </si>
  <si>
    <t xml:space="preserve">SP-13</t>
  </si>
  <si>
    <t xml:space="preserve">Switching step post-condition verification via SCADA: acceptable latency?</t>
  </si>
  <si>
    <t xml:space="preserve">Informs story US-OPS-04-002</t>
  </si>
  <si>
    <t xml:space="preserve">SP-14</t>
  </si>
  <si>
    <t xml:space="preserve">CIS API performance under storm-day lookup volume</t>
  </si>
  <si>
    <t xml:space="preserve">INT-04 capacity planning</t>
  </si>
  <si>
    <t xml:space="preserve">SP-15</t>
  </si>
  <si>
    <t xml:space="preserve">Legacy audit log migration: event-sourced replay feasibility?</t>
  </si>
  <si>
    <t xml:space="preserve">Migration E-PLT-05 scope decision</t>
  </si>
  <si>
    <t xml:space="preserve">Technology Selection Log</t>
  </si>
  <si>
    <t xml:space="preserve">Stack decisions with candidates evaluated, selection rationale, and risk notes.</t>
  </si>
  <si>
    <t xml:space="preserve">Every entry here should correspond to an ADR. Candidates rejected for weak reasons should be challenged via P2-04 Architecture Challenger.</t>
  </si>
  <si>
    <t xml:space="preserve">Tech ID</t>
  </si>
  <si>
    <t xml:space="preserve">Selection</t>
  </si>
  <si>
    <t xml:space="preserve">Candidates Considered</t>
  </si>
  <si>
    <t xml:space="preserve">Selection Rationale</t>
  </si>
  <si>
    <t xml:space="preserve">Primary Risk</t>
  </si>
  <si>
    <t xml:space="preserve">License/Cost Model</t>
  </si>
  <si>
    <t xml:space="preserve">Related ADR</t>
  </si>
  <si>
    <t xml:space="preserve">T-001</t>
  </si>
  <si>
    <t xml:space="preserve">Language/Runtime</t>
  </si>
  <si>
    <t xml:space="preserve">Java 21 LTS</t>
  </si>
  <si>
    <t xml:space="preserve">21</t>
  </si>
  <si>
    <t xml:space="preserve">Java, Kotlin, C#/.NET, Go</t>
  </si>
  <si>
    <t xml:space="preserve">Team fluency; LTS stability; Spring ecosystem; NERC CIP-friendly tooling</t>
  </si>
  <si>
    <t xml:space="preserve">Talent market softening for Java; mitigation via training</t>
  </si>
  <si>
    <t xml:space="preserve">Open-source (OpenJDK)</t>
  </si>
  <si>
    <t xml:space="preserve">T-002</t>
  </si>
  <si>
    <t xml:space="preserve">Application Framework</t>
  </si>
  <si>
    <t xml:space="preserve">Spring Boot 3</t>
  </si>
  <si>
    <t xml:space="preserve">3.2+</t>
  </si>
  <si>
    <t xml:space="preserve">Spring Boot, Quarkus, Micronaut, plain Java</t>
  </si>
  <si>
    <t xml:space="preserve">Team expertise; ecosystem maturity; long-term backing; fits non-containerized deployment</t>
  </si>
  <si>
    <t xml:space="preserve">Spring version upgrade discipline required</t>
  </si>
  <si>
    <t xml:space="preserve">Apache 2.0 OSS</t>
  </si>
  <si>
    <t xml:space="preserve">T-003</t>
  </si>
  <si>
    <t xml:space="preserve">Primary Database</t>
  </si>
  <si>
    <t xml:space="preserve">PostgreSQL</t>
  </si>
  <si>
    <t xml:space="preserve">16</t>
  </si>
  <si>
    <t xml:space="preserve">PostgreSQL, Oracle, SQL Server, DB2</t>
  </si>
  <si>
    <t xml:space="preserve">Open-source; mature HA; team experience; PITR; on-prem strong; cost</t>
  </si>
  <si>
    <t xml:space="preserve">No enterprise support default; Crunchy/EDB option if needed</t>
  </si>
  <si>
    <t xml:space="preserve">PostgreSQL License</t>
  </si>
  <si>
    <t xml:space="preserve">T-004</t>
  </si>
  <si>
    <t xml:space="preserve">Database HA</t>
  </si>
  <si>
    <t xml:space="preserve">Patroni + etcd</t>
  </si>
  <si>
    <t xml:space="preserve">Patroni, repmgr, pg_auto_failover, Oracle RAC</t>
  </si>
  <si>
    <t xml:space="preserve">Proven Patroni operational model; etcd available from observability stack</t>
  </si>
  <si>
    <t xml:space="preserve">etcd operational complexity</t>
  </si>
  <si>
    <t xml:space="preserve">Apache 2.0</t>
  </si>
  <si>
    <t xml:space="preserve">T-005</t>
  </si>
  <si>
    <t xml:space="preserve">Message Broker</t>
  </si>
  <si>
    <t xml:space="preserve">Apache Kafka</t>
  </si>
  <si>
    <t xml:space="preserve">3.7+</t>
  </si>
  <si>
    <t xml:space="preserve">Kafka, Pulsar, RabbitMQ, ActiveMQ</t>
  </si>
  <si>
    <t xml:space="preserve">Event streaming fit; storm durability; replay; team skills</t>
  </si>
  <si>
    <t xml:space="preserve">Storage growth management; quota discipline</t>
  </si>
  <si>
    <t xml:space="preserve">T-006</t>
  </si>
  <si>
    <t xml:space="preserve">Distributed Cache</t>
  </si>
  <si>
    <t xml:space="preserve">Redis</t>
  </si>
  <si>
    <t xml:space="preserve">7+</t>
  </si>
  <si>
    <t xml:space="preserve">Redis, Memcached, Hazelcast, in-memory JVM</t>
  </si>
  <si>
    <t xml:space="preserve">Low-latency; session store; rate limiting; broad ecosystem</t>
  </si>
  <si>
    <t xml:space="preserve">RedisLabs license changes; OSS Redis fork trajectory</t>
  </si>
  <si>
    <t xml:space="preserve">Open-source (Redis OSS)</t>
  </si>
  <si>
    <t xml:space="preserve">T-007</t>
  </si>
  <si>
    <t xml:space="preserve">Reverse Proxy / Load Balancer</t>
  </si>
  <si>
    <t xml:space="preserve">nginx</t>
  </si>
  <si>
    <t xml:space="preserve">1.26+</t>
  </si>
  <si>
    <t xml:space="preserve">nginx, HAProxy, Apache Traffic Server</t>
  </si>
  <si>
    <t xml:space="preserve">Team familiarity; TLS termination; rate limiting; on-prem friendly</t>
  </si>
  <si>
    <t xml:space="preserve">nginx commercial features not needed</t>
  </si>
  <si>
    <t xml:space="preserve">BSD-like</t>
  </si>
  <si>
    <t xml:space="preserve">-</t>
  </si>
  <si>
    <t xml:space="preserve">Part of platform baseline</t>
  </si>
  <si>
    <t xml:space="preserve">T-008</t>
  </si>
  <si>
    <t xml:space="preserve">Configuration Management / Deployment</t>
  </si>
  <si>
    <t xml:space="preserve">Ansible</t>
  </si>
  <si>
    <t xml:space="preserve">9+</t>
  </si>
  <si>
    <t xml:space="preserve">Ansible, Puppet, Chef, Salt</t>
  </si>
  <si>
    <t xml:space="preserve">Team skills; agentless; fits VM pattern; NERC CIP audit-friendly</t>
  </si>
  <si>
    <t xml:space="preserve">Inventory discipline at scale</t>
  </si>
  <si>
    <t xml:space="preserve">GPL (but no redistribution)</t>
  </si>
  <si>
    <t xml:space="preserve">T-009</t>
  </si>
  <si>
    <t xml:space="preserve">Secrets Management</t>
  </si>
  <si>
    <t xml:space="preserve">HashiCorp Vault</t>
  </si>
  <si>
    <t xml:space="preserve">1.15+</t>
  </si>
  <si>
    <t xml:space="preserve">Vault, CyberArk, enterprise KMS</t>
  </si>
  <si>
    <t xml:space="preserve">On-prem; NERC CIP-friendly; broad integration; team skills</t>
  </si>
  <si>
    <t xml:space="preserve">HA operational complexity</t>
  </si>
  <si>
    <t xml:space="preserve">MPL-2.0 (BSL post-v1.14 not used)</t>
  </si>
  <si>
    <t xml:space="preserve">Pin to MPL version</t>
  </si>
  <si>
    <t xml:space="preserve">T-010</t>
  </si>
  <si>
    <t xml:space="preserve">Metrics</t>
  </si>
  <si>
    <t xml:space="preserve">Prometheus</t>
  </si>
  <si>
    <t xml:space="preserve">2.50+</t>
  </si>
  <si>
    <t xml:space="preserve">Prometheus, DataDog, Dynatrace, New Relic</t>
  </si>
  <si>
    <t xml:space="preserve">Open-source; on-prem; pull-based fit; team skills</t>
  </si>
  <si>
    <t xml:space="preserve">Storage scaling for long retention</t>
  </si>
  <si>
    <t xml:space="preserve">T-011</t>
  </si>
  <si>
    <t xml:space="preserve">Visualization</t>
  </si>
  <si>
    <t xml:space="preserve">Grafana</t>
  </si>
  <si>
    <t xml:space="preserve">10+</t>
  </si>
  <si>
    <t xml:space="preserve">Grafana, Kibana, DataDog, vendor-specific</t>
  </si>
  <si>
    <t xml:space="preserve">Open-source; multi-source; team skills</t>
  </si>
  <si>
    <t xml:space="preserve">Dashboard sprawl without governance</t>
  </si>
  <si>
    <t xml:space="preserve">AGPL-3.0</t>
  </si>
  <si>
    <t xml:space="preserve">T-012</t>
  </si>
  <si>
    <t xml:space="preserve">Log Aggregation</t>
  </si>
  <si>
    <t xml:space="preserve">Elastic Stack (ELK)</t>
  </si>
  <si>
    <t xml:space="preserve">8+</t>
  </si>
  <si>
    <t xml:space="preserve">ELK, Loki, Splunk, Graylog</t>
  </si>
  <si>
    <t xml:space="preserve">On-prem; mature; team skills; NERC CIP evidence retention</t>
  </si>
  <si>
    <t xml:space="preserve">License model changes post-7.10; using OSS distro</t>
  </si>
  <si>
    <t xml:space="preserve">Elastic License 2.0 / AGPL</t>
  </si>
  <si>
    <t xml:space="preserve">OpenSearch option</t>
  </si>
  <si>
    <t xml:space="preserve">T-013</t>
  </si>
  <si>
    <t xml:space="preserve">Tracing</t>
  </si>
  <si>
    <t xml:space="preserve">Jaeger</t>
  </si>
  <si>
    <t xml:space="preserve">1.55+</t>
  </si>
  <si>
    <t xml:space="preserve">Jaeger, Zipkin, Tempo</t>
  </si>
  <si>
    <t xml:space="preserve">Open-source; OTEL-native; team skills</t>
  </si>
  <si>
    <t xml:space="preserve">Storage backend selection for retention</t>
  </si>
  <si>
    <t xml:space="preserve">T-014</t>
  </si>
  <si>
    <t xml:space="preserve">API Gateway</t>
  </si>
  <si>
    <t xml:space="preserve">Spring Cloud Gateway</t>
  </si>
  <si>
    <t xml:space="preserve">4+</t>
  </si>
  <si>
    <t xml:space="preserve">Spring Cloud Gateway, Kong, Tyk, HAProxy</t>
  </si>
  <si>
    <t xml:space="preserve">In-stack with rest of platform; team skills</t>
  </si>
  <si>
    <t xml:space="preserve">Alternative would give more features but add operational surface</t>
  </si>
  <si>
    <t xml:space="preserve">T-015</t>
  </si>
  <si>
    <t xml:space="preserve">Frontend Framework</t>
  </si>
  <si>
    <t xml:space="preserve">React + TypeScript</t>
  </si>
  <si>
    <t xml:space="preserve">18 / 5</t>
  </si>
  <si>
    <t xml:space="preserve">React, Angular, Vue, Svelte</t>
  </si>
  <si>
    <t xml:space="preserve">Team skills; component ecosystem; state management maturity</t>
  </si>
  <si>
    <t xml:space="preserve">React version churn discipline required</t>
  </si>
  <si>
    <t xml:space="preserve">MIT</t>
  </si>
  <si>
    <t xml:space="preserve">T-016</t>
  </si>
  <si>
    <t xml:space="preserve">State Management (FE)</t>
  </si>
  <si>
    <t xml:space="preserve">Redux Toolkit + RTK Query</t>
  </si>
  <si>
    <t xml:space="preserve">2+</t>
  </si>
  <si>
    <t xml:space="preserve">Redux Toolkit, Zustand, Jotai, TanStack Query</t>
  </si>
  <si>
    <t xml:space="preserve">Mature; devtools; predictable for large app</t>
  </si>
  <si>
    <t xml:space="preserve">Learning curve for newer FE devs</t>
  </si>
  <si>
    <t xml:space="preserve">T-017</t>
  </si>
  <si>
    <t xml:space="preserve">Testing - Unit/Integration</t>
  </si>
  <si>
    <t xml:space="preserve">JUnit 5 + Testcontainers</t>
  </si>
  <si>
    <t xml:space="preserve">5 / 1.19+</t>
  </si>
  <si>
    <t xml:space="preserve">JUnit, TestNG, Spock</t>
  </si>
  <si>
    <t xml:space="preserve">Standard Java testing; Testcontainers for integration realism</t>
  </si>
  <si>
    <t xml:space="preserve">EPL-2.0 / MIT</t>
  </si>
  <si>
    <t xml:space="preserve">T-018</t>
  </si>
  <si>
    <t xml:space="preserve">Testing - Performance</t>
  </si>
  <si>
    <t xml:space="preserve">k6 + Gatling</t>
  </si>
  <si>
    <t xml:space="preserve">latest</t>
  </si>
  <si>
    <t xml:space="preserve">k6, Gatling, JMeter, Locust</t>
  </si>
  <si>
    <t xml:space="preserve">k6 for modern scripting; Gatling for JVM-native stress</t>
  </si>
  <si>
    <t xml:space="preserve">AGPL / Apache 2.0</t>
  </si>
  <si>
    <t xml:space="preserve">T-019</t>
  </si>
  <si>
    <t xml:space="preserve">Schema Migration</t>
  </si>
  <si>
    <t xml:space="preserve">Flyway OSS</t>
  </si>
  <si>
    <t xml:space="preserve">Flyway, Liquibase</t>
  </si>
  <si>
    <t xml:space="preserve">Forward-only discipline; simpler mental model</t>
  </si>
  <si>
    <t xml:space="preserve">No rollback via tool; compensating migrations required</t>
  </si>
  <si>
    <t xml:space="preserve">Apache 2.0 (OSS edition)</t>
  </si>
  <si>
    <t xml:space="preserve">T-020</t>
  </si>
  <si>
    <t xml:space="preserve">Virtualization</t>
  </si>
  <si>
    <t xml:space="preserve">VMware vSphere</t>
  </si>
  <si>
    <t xml:space="preserve">VMware, KVM/oVirt, Proxmox</t>
  </si>
  <si>
    <t xml:space="preserve">Existing enterprise standard; not a fresh decision</t>
  </si>
  <si>
    <t xml:space="preserve">Broadcom licensing trajectory</t>
  </si>
  <si>
    <t xml:space="preserve">Commercial</t>
  </si>
  <si>
    <t xml:space="preserve">Existing infrastructure</t>
  </si>
  <si>
    <t xml:space="preserve">Design Authority Board (DAB) Log</t>
  </si>
  <si>
    <t xml:space="preserve">Weekly standing DAB meetings. Significant ADRs, integration contracts, and safety-critical designs reviewed here.</t>
  </si>
  <si>
    <t xml:space="preserve">External architect independent review recommended at 3-month mark; capture in this log.</t>
  </si>
  <si>
    <t xml:space="preserve">Session #</t>
  </si>
  <si>
    <t xml:space="preserve">Date</t>
  </si>
  <si>
    <t xml:space="preserve">Topics / ADRs Reviewed</t>
  </si>
  <si>
    <t xml:space="preserve">Participants</t>
  </si>
  <si>
    <t xml:space="preserve">Decisions Made</t>
  </si>
  <si>
    <t xml:space="preserve">Action Items</t>
  </si>
  <si>
    <t xml:space="preserve">Next Review Date</t>
  </si>
  <si>
    <t xml:space="preserve">Minutes Link</t>
  </si>
  <si>
    <t xml:space="preserve">Chair</t>
  </si>
  <si>
    <t xml:space="preserve">DAB-001</t>
  </si>
  <si>
    <t xml:space="preserve">ADR-001, ADR-002 initial discussion</t>
  </si>
  <si>
    <t xml:space="preserve">Chief Arch, Sr Eng Deputy, 3 Sr Engs, Infra Arch, Sec Arch</t>
  </si>
  <si>
    <t xml:space="preserve">Both ADRs moved to Accepted; Sr Engs concur</t>
  </si>
  <si>
    <t xml:space="preserve">Publish to wiki; socialize with squads</t>
  </si>
  <si>
    <t xml:space="preserve">wiki/dab/001</t>
  </si>
  <si>
    <t xml:space="preserve">Chief Arch</t>
  </si>
  <si>
    <t xml:space="preserve">DAB-002</t>
  </si>
  <si>
    <t xml:space="preserve">ADR-003 (Kafka), ADR-004 (Redis)</t>
  </si>
  <si>
    <t xml:space="preserve">Chief Arch, Sr Eng Deputy, 3 Sr Engs, Platform TL</t>
  </si>
  <si>
    <t xml:space="preserve">Both accepted; SP-01 triggered for Kafka capacity validation</t>
  </si>
  <si>
    <t xml:space="preserve">SP-01 owner Sr Eng A</t>
  </si>
  <si>
    <t xml:space="preserve">wiki/dab/002</t>
  </si>
  <si>
    <t xml:space="preserve">DAB-003</t>
  </si>
  <si>
    <t xml:space="preserve">ADR-005 (VM deployment), ADR-006 (outbox pattern)</t>
  </si>
  <si>
    <t xml:space="preserve">Chief Arch, Sr Eng Deputy, Sr Engs, Integration Arch, Product Council op</t>
  </si>
  <si>
    <t xml:space="preserve">Both accepted; outbox marked safety-critical; Product Council sign-off received</t>
  </si>
  <si>
    <t xml:space="preserve">Define outbox library vs custom via SP-10</t>
  </si>
  <si>
    <t xml:space="preserve">wiki/dab/003</t>
  </si>
  <si>
    <t xml:space="preserve">DAB-004</t>
  </si>
  <si>
    <t xml:space="preserve">ADR-007 (audit), ADR-008 (CQRS)</t>
  </si>
  <si>
    <t xml:space="preserve">Chief Arch, Sr Eng Deputy, Sr Engs, Sec Arch, Data Arch</t>
  </si>
  <si>
    <t xml:space="preserve">Both accepted; audit safety-critical with Product Council sign-off</t>
  </si>
  <si>
    <t xml:space="preserve">Schema design for audit store; SP-04 for CQRS</t>
  </si>
  <si>
    <t xml:space="preserve">wiki/dab/004</t>
  </si>
  <si>
    <t xml:space="preserve">DAB-005</t>
  </si>
  <si>
    <t xml:space="preserve">ADR-009 (SSO), ADR-010 (RBAC)</t>
  </si>
  <si>
    <t xml:space="preserve">Chief Arch, Sr Eng Deputy, Sec Arch, IAM team liaison, Product Council op</t>
  </si>
  <si>
    <t xml:space="preserve">Both accepted; RBAC safety-critical due to override logging</t>
  </si>
  <si>
    <t xml:space="preserve">IAM integration plan; role catalog</t>
  </si>
  <si>
    <t xml:space="preserve">wiki/dab/005</t>
  </si>
  <si>
    <t xml:space="preserve">DAB-006</t>
  </si>
  <si>
    <t xml:space="preserve">ADR-011 (Vault), ADR-012 (observability)</t>
  </si>
  <si>
    <t xml:space="preserve">Chief Arch, Sr Eng Deputy, Sr Engs, Platform TL, Sec Arch</t>
  </si>
  <si>
    <t xml:space="preserve">Both accepted</t>
  </si>
  <si>
    <t xml:space="preserve">Vault cluster design; dashboard baseline</t>
  </si>
  <si>
    <t xml:space="preserve">wiki/dab/006</t>
  </si>
  <si>
    <t xml:space="preserve">DAB-007</t>
  </si>
  <si>
    <t xml:space="preserve">ADR-013 (modular monolith + services), ADR-014 (React)</t>
  </si>
  <si>
    <t xml:space="preserve">Chief Arch, Sr Eng Deputy, Sr Engs, FE Tech Lead</t>
  </si>
  <si>
    <t xml:space="preserve">Both accepted; decomposition into services captured in DG-002</t>
  </si>
  <si>
    <t xml:space="preserve">Container diagram update; DG-002 v1.0</t>
  </si>
  <si>
    <t xml:space="preserve">wiki/dab/007</t>
  </si>
  <si>
    <t xml:space="preserve">DAB-008</t>
  </si>
  <si>
    <t xml:space="preserve">ADR-015 (REST+gRPC), ADR-016 (Flyway)</t>
  </si>
  <si>
    <t xml:space="preserve">Chief Arch, Sr Eng Deputy, Integration Arch, DBA</t>
  </si>
  <si>
    <t xml:space="preserve">Internal gRPC standards; Flyway dev workflow</t>
  </si>
  <si>
    <t xml:space="preserve">wiki/dab/008</t>
  </si>
  <si>
    <t xml:space="preserve">DAB-009</t>
  </si>
  <si>
    <t xml:space="preserve">ADR-017 initial (switching step state machine library)</t>
  </si>
  <si>
    <t xml:space="preserve">Chief Arch, Sr Eng Deputy, Sr Eng (safety-focused), Product Council</t>
  </si>
  <si>
    <t xml:space="preserve">Under Review; SP-06 required first</t>
  </si>
  <si>
    <t xml:space="preserve">SP-06 execution; re-review in DAB-011</t>
  </si>
  <si>
    <t xml:space="preserve">wiki/dab/009</t>
  </si>
  <si>
    <t xml:space="preserve">DAB-010</t>
  </si>
  <si>
    <t xml:space="preserve">ADR-018 initial (reporting replica isolation)</t>
  </si>
  <si>
    <t xml:space="preserve">Chief Arch, Sr Eng Deputy, DBA, Reporting PO</t>
  </si>
  <si>
    <t xml:space="preserve">Under Review; SP-11 required</t>
  </si>
  <si>
    <t xml:space="preserve">SP-11 execution</t>
  </si>
  <si>
    <t xml:space="preserve">wiki/dab/010</t>
  </si>
  <si>
    <t xml:space="preserve">DAB-011</t>
  </si>
  <si>
    <t xml:space="preserve">ADR-019 initial (migration), ADR-020 initial (CIP boundary)</t>
  </si>
  <si>
    <t xml:space="preserve">Chief Arch, Sr Eng Deputy, Data Architect, Sec Arch, Compliance Officer, Product Council</t>
  </si>
  <si>
    <t xml:space="preserve">Both proposed; require external architect review</t>
  </si>
  <si>
    <t xml:space="preserve">External architect engagement scheduled</t>
  </si>
  <si>
    <t xml:space="preserve">wiki/dab/011</t>
  </si>
  <si>
    <t xml:space="preserve">DAB-012</t>
  </si>
  <si>
    <t xml:space="preserve">External Architect Independent Review session</t>
  </si>
  <si>
    <t xml:space="preserve">Chief Arch, Sr Eng Deputy, External Architect, Program Manager, Sponsor rep</t>
  </si>
  <si>
    <t xml:space="preserve">External review findings captured</t>
  </si>
  <si>
    <t xml:space="preserve">Address findings; re-review at DAB-015</t>
  </si>
  <si>
    <t xml:space="preserve">2026-04-16</t>
  </si>
  <si>
    <t xml:space="preserve">wiki/dab/012</t>
  </si>
  <si>
    <t xml:space="preserve">External Architect</t>
  </si>
  <si>
    <t xml:space="preserve">Cross-Cutting Concern Design Matrix</t>
  </si>
  <si>
    <t xml:space="preserve">For each component, how are audit / observability / security / resilience / compliance concerns addressed?</t>
  </si>
  <si>
    <t xml:space="preserve">Empty cells indicate design gaps. All cells populated before component enters Build.</t>
  </si>
  <si>
    <t xml:space="preserve">Type</t>
  </si>
  <si>
    <t xml:space="preserve">Audit Approach</t>
  </si>
  <si>
    <t xml:space="preserve">Observability Approach</t>
  </si>
  <si>
    <t xml:space="preserve">Security Approach</t>
  </si>
  <si>
    <t xml:space="preserve">Resilience Approach</t>
  </si>
  <si>
    <t xml:space="preserve">Compliance (NERC CIP)</t>
  </si>
  <si>
    <t xml:space="preserve">SCADA Ingestion Service</t>
  </si>
  <si>
    <t xml:space="preserve">Service</t>
  </si>
  <si>
    <t xml:space="preserve">Event-source; all ingested events persisted immutably</t>
  </si>
  <si>
    <t xml:space="preserve">Kafka consumer lag metrics; ingestion rate; error rate; trace of each event</t>
  </si>
  <si>
    <t xml:space="preserve">Service account; encrypted Kafka cluster; mTLS to SCADA</t>
  </si>
  <si>
    <t xml:space="preserve">Kafka replication factor 3; producer retries; consumer resumption from last-committed offset</t>
  </si>
  <si>
    <t xml:space="preserve">Events crossing CIP boundary identified; EAP logging</t>
  </si>
  <si>
    <t xml:space="preserve">Integration Gateway Service</t>
  </si>
  <si>
    <t xml:space="preserve">Inbound and outbound API calls logged</t>
  </si>
  <si>
    <t xml:space="preserve">Request rate, latency, error rate per integration; circuit breaker status</t>
  </si>
  <si>
    <t xml:space="preserve">mTLS; per-integration service accounts; rotation via Vault</t>
  </si>
  <si>
    <t xml:space="preserve">Circuit breaker per integration; retry with backoff; idempotency keys</t>
  </si>
  <si>
    <t xml:space="preserve">Field work system crosses CIP boundary — review required</t>
  </si>
  <si>
    <t xml:space="preserve">Card Module (monolith)</t>
  </si>
  <si>
    <t xml:space="preserve">Module</t>
  </si>
  <si>
    <t xml:space="preserve">Outbox for all state transitions; audit record per transition</t>
  </si>
  <si>
    <t xml:space="preserve">Card creation rate; active card count; state-transition latency</t>
  </si>
  <si>
    <t xml:space="preserve">RBAC with district scope enforcement; audit event context</t>
  </si>
  <si>
    <t xml:space="preserve">Transactional boundaries for consistency; event emission after commit</t>
  </si>
  <si>
    <t xml:space="preserve">Not in CIP scope (Distribution)</t>
  </si>
  <si>
    <t xml:space="preserve">Switching Order Module (monolith)</t>
  </si>
  <si>
    <t xml:space="preserve">State transition audit; precondition evaluation audit; override audit</t>
  </si>
  <si>
    <t xml:space="preserve">Order count by state; authoring duration; execution duration; failure rate</t>
  </si>
  <si>
    <t xml:space="preserve">RBAC; supervisor override authorization; authorization context in audit</t>
  </si>
  <si>
    <t xml:space="preserve">Transaction boundaries per step; compensating actions</t>
  </si>
  <si>
    <t xml:space="preserve">Transmission orders in CIP scope; additional audit trail</t>
  </si>
  <si>
    <t xml:space="preserve">Safety-critical</t>
  </si>
  <si>
    <t xml:space="preserve">Switching Step Module (monolith)</t>
  </si>
  <si>
    <t xml:space="preserve">Precondition evaluation audit; postcondition verification audit; override audit</t>
  </si>
  <si>
    <t xml:space="preserve">Step execution rate; precondition failure rate; override rate</t>
  </si>
  <si>
    <t xml:space="preserve">RBAC; override authorization; grounding rule enforcement</t>
  </si>
  <si>
    <t xml:space="preserve">State machine recovery after restart; postcondition timeout handling</t>
  </si>
  <si>
    <t xml:space="preserve">Transmission steps in CIP scope</t>
  </si>
  <si>
    <t xml:space="preserve">Safety-critical; highest rigor</t>
  </si>
  <si>
    <t xml:space="preserve">Clearance Module (monolith)</t>
  </si>
  <si>
    <t xml:space="preserve">Issuance/release audit; device-scope audit</t>
  </si>
  <si>
    <t xml:space="preserve">Active clearance count; issuance rate; scope overlap rate</t>
  </si>
  <si>
    <t xml:space="preserve">RBAC; device-scope enforcement; electronic attestation</t>
  </si>
  <si>
    <t xml:space="preserve">Transaction boundaries; no-overlap invariant enforcement</t>
  </si>
  <si>
    <t xml:space="preserve">CIP applicability for transmission</t>
  </si>
  <si>
    <t xml:space="preserve">Audit Service</t>
  </si>
  <si>
    <t xml:space="preserve">(is the audit) immutable append-only log</t>
  </si>
  <si>
    <t xml:space="preserve">Ingestion rate; query latency; storage consumption</t>
  </si>
  <si>
    <t xml:space="preserve">Write-only API; read restricted to compliance roles</t>
  </si>
  <si>
    <t xml:space="preserve">Replication to DR; cold storage archival</t>
  </si>
  <si>
    <t xml:space="preserve">7+ year retention; audit integrity controls</t>
  </si>
  <si>
    <t xml:space="preserve">Referenced by all components</t>
  </si>
  <si>
    <t xml:space="preserve">Reporting Service</t>
  </si>
  <si>
    <t xml:space="preserve">Read-only query audit for sensitive queries</t>
  </si>
  <si>
    <t xml:space="preserve">Query performance; replica lag; report generation time</t>
  </si>
  <si>
    <t xml:space="preserve">RBAC; row-level security for customer data</t>
  </si>
  <si>
    <t xml:space="preserve">Replica read isolation; graceful degradation if replica lag</t>
  </si>
  <si>
    <t xml:space="preserve">Reports may touch CIP info</t>
  </si>
  <si>
    <t xml:space="preserve">Notification Service</t>
  </si>
  <si>
    <t xml:space="preserve">Notification send audit</t>
  </si>
  <si>
    <t xml:space="preserve">Send rate; failure rate; delivery latency</t>
  </si>
  <si>
    <t xml:space="preserve">Service account; template sanitization</t>
  </si>
  <si>
    <t xml:space="preserve">Retry with backoff; dead letter queue</t>
  </si>
  <si>
    <t xml:space="preserve">No CIP applicability unless notification content includes BES CSI</t>
  </si>
  <si>
    <t xml:space="preserve">Frontend (Operator UI)</t>
  </si>
  <si>
    <t xml:space="preserve">Client</t>
  </si>
  <si>
    <t xml:space="preserve">User action audit emitted via API</t>
  </si>
  <si>
    <t xml:space="preserve">Page load time; RUM; error rate; feature adoption</t>
  </si>
  <si>
    <t xml:space="preserve">Session management; CSRF; content security policy; XSS controls</t>
  </si>
  <si>
    <t xml:space="preserve">Offline indication; retry on transient backend failures</t>
  </si>
  <si>
    <t xml:space="preserve">No local storage of CIP data</t>
  </si>
  <si>
    <t xml:space="preserve">WCAG 2.2 AA</t>
  </si>
  <si>
    <t xml:space="preserve">Enterprise Auth Integration</t>
  </si>
  <si>
    <t xml:space="preserve">Auth event forwarded to SIEM</t>
  </si>
  <si>
    <t xml:space="preserve">Auth success/failure rate; MFA rate; session duration</t>
  </si>
  <si>
    <t xml:space="preserve">SAML/OIDC with IdP; MFA enforced for privileged</t>
  </si>
  <si>
    <t xml:space="preserve">Cached credentials window for IdP outage</t>
  </si>
  <si>
    <t xml:space="preserve">CIP personnel training linked; access authorization records</t>
  </si>
  <si>
    <t xml:space="preserve">Field Work Integration</t>
  </si>
  <si>
    <t xml:space="preserve">Dispatch and status change audit</t>
  </si>
  <si>
    <t xml:space="preserve">Dispatch throughput; ack latency; reconciliation drift</t>
  </si>
  <si>
    <t xml:space="preserve">mTLS; API key via Vault; rotation schedule</t>
  </si>
  <si>
    <t xml:space="preserve">Outbox pattern; idempotency; retry; reconciliation job</t>
  </si>
  <si>
    <t xml:space="preserve">Crosses boundary to Field Work System — review CIP</t>
  </si>
  <si>
    <t xml:space="preserve">Integration Contract Register</t>
  </si>
  <si>
    <t xml:space="preserve">Per-integration signed contract covering schema, semantics, SLAs, error handling.</t>
  </si>
  <si>
    <t xml:space="preserve">Contract must be signed by both sides (our program + integration counterparty) before story implementation begins.</t>
  </si>
  <si>
    <t xml:space="preserve">Contract ID</t>
  </si>
  <si>
    <t xml:space="preserve">Direction</t>
  </si>
  <si>
    <t xml:space="preserve">Protocol/Format</t>
  </si>
  <si>
    <t xml:space="preserve">Schema Location</t>
  </si>
  <si>
    <t xml:space="preserve">Our Signatory</t>
  </si>
  <si>
    <t xml:space="preserve">Counterparty Signatory</t>
  </si>
  <si>
    <t xml:space="preserve">Signed Date</t>
  </si>
  <si>
    <t xml:space="preserve">INT-01</t>
  </si>
  <si>
    <t xml:space="preserve">SCADA/EMS</t>
  </si>
  <si>
    <t xml:space="preserve">Inbound (event stream)</t>
  </si>
  <si>
    <t xml:space="preserve">Kafka / IEC 61850 encoded</t>
  </si>
  <si>
    <t xml:space="preserve">wiki/contracts/scada-v1</t>
  </si>
  <si>
    <t xml:space="preserve">SCADA team lead</t>
  </si>
  <si>
    <t xml:space="preserve">Based on P1-07 output</t>
  </si>
  <si>
    <t xml:space="preserve">INT-02</t>
  </si>
  <si>
    <t xml:space="preserve">Field Work System</t>
  </si>
  <si>
    <t xml:space="preserve">Outbound (dispatch) + Inbound (status)</t>
  </si>
  <si>
    <t xml:space="preserve">REST / JSON</t>
  </si>
  <si>
    <t xml:space="preserve">wiki/contracts/fieldwork-v1</t>
  </si>
  <si>
    <t xml:space="preserve">Field Work vendor PM</t>
  </si>
  <si>
    <t xml:space="preserve">INT-03</t>
  </si>
  <si>
    <t xml:space="preserve">GIS</t>
  </si>
  <si>
    <t xml:space="preserve">Inbound (topology sync)</t>
  </si>
  <si>
    <t xml:space="preserve">wiki/contracts/gis-v1</t>
  </si>
  <si>
    <t xml:space="preserve">GIS team lead</t>
  </si>
  <si>
    <t xml:space="preserve">Retirement roadmap under discussion</t>
  </si>
  <si>
    <t xml:space="preserve">INT-04</t>
  </si>
  <si>
    <t xml:space="preserve">CIS</t>
  </si>
  <si>
    <t xml:space="preserve">Outbound (lookup) + batch (impact calc)</t>
  </si>
  <si>
    <t xml:space="preserve">REST / JSON + SFTP batch</t>
  </si>
  <si>
    <t xml:space="preserve">wiki/contracts/cis-v1</t>
  </si>
  <si>
    <t xml:space="preserve">CIS team lead</t>
  </si>
  <si>
    <t xml:space="preserve">INT-05</t>
  </si>
  <si>
    <t xml:space="preserve">Enterprise SSO (SAML)</t>
  </si>
  <si>
    <t xml:space="preserve">Inbound (auth)</t>
  </si>
  <si>
    <t xml:space="preserve">SAML 2.0</t>
  </si>
  <si>
    <t xml:space="preserve">n/a</t>
  </si>
  <si>
    <t xml:space="preserve">wiki/contracts/sso-v1</t>
  </si>
  <si>
    <t xml:space="preserve">IAM team lead</t>
  </si>
  <si>
    <t xml:space="preserve">Metadata exchange</t>
  </si>
  <si>
    <t xml:space="preserve">INT-06</t>
  </si>
  <si>
    <t xml:space="preserve">Enterprise SIEM</t>
  </si>
  <si>
    <t xml:space="preserve">Outbound (log forward)</t>
  </si>
  <si>
    <t xml:space="preserve">Syslog</t>
  </si>
  <si>
    <t xml:space="preserve">wiki/contracts/siem-v1</t>
  </si>
  <si>
    <t xml:space="preserve">SIEM team lead</t>
  </si>
  <si>
    <t xml:space="preserve">For NERC CIP evidence</t>
  </si>
  <si>
    <t xml:space="preserve">INT-07</t>
  </si>
  <si>
    <t xml:space="preserve">Asset Mgmt (Maximo)</t>
  </si>
  <si>
    <t xml:space="preserve">Bidirectional (asset sync)</t>
  </si>
  <si>
    <t xml:space="preserve">REST / JSON + scheduled</t>
  </si>
  <si>
    <t xml:space="preserve">wiki/contracts/am-v1</t>
  </si>
  <si>
    <t xml:space="preserve">Asset Mgmt team lead</t>
  </si>
  <si>
    <t xml:space="preserve">Post-MVP scope</t>
  </si>
  <si>
    <t xml:space="preserve">INT-08</t>
  </si>
  <si>
    <t xml:space="preserve">Customer Notification System</t>
  </si>
  <si>
    <t xml:space="preserve">Outbound (notifications)</t>
  </si>
  <si>
    <t xml:space="preserve">wiki/contracts/cns-v1</t>
  </si>
  <si>
    <t xml:space="preserve">CX team lead</t>
  </si>
  <si>
    <t xml:space="preserve">INT-09</t>
  </si>
  <si>
    <t xml:space="preserve">Outage Map (public)</t>
  </si>
  <si>
    <t xml:space="preserve">Outbound (outage data)</t>
  </si>
  <si>
    <t xml:space="preserve">wiki/contracts/omap-v1</t>
  </si>
  <si>
    <t xml:space="preserve">Digital team lead</t>
  </si>
  <si>
    <t xml:space="preserve">INT-10</t>
  </si>
  <si>
    <t xml:space="preserve">Enterprise Vault (secrets)</t>
  </si>
  <si>
    <t xml:space="preserve">Outbound (secret fetch)</t>
  </si>
  <si>
    <t xml:space="preserve">HTTPS / Vault API</t>
  </si>
  <si>
    <t xml:space="preserve">wiki/contracts/vault-v1</t>
  </si>
  <si>
    <t xml:space="preserve">Data Migration Plan (per entity/domain)</t>
  </si>
  <si>
    <t xml:space="preserve">Each row: one entity/domain. Approach from ADR-019; dress rehearsal target 3+ per entity.</t>
  </si>
  <si>
    <t xml:space="preserve">Reconciliation approach mandatory for operational entities.</t>
  </si>
  <si>
    <t xml:space="preserve">Migration ID</t>
  </si>
  <si>
    <t xml:space="preserve">Entity/Domain</t>
  </si>
  <si>
    <t xml:space="preserve">Legacy Source</t>
  </si>
  <si>
    <t xml:space="preserve">Target Schema</t>
  </si>
  <si>
    <t xml:space="preserve">Est. Row Count</t>
  </si>
  <si>
    <t xml:space="preserve">Approach</t>
  </si>
  <si>
    <t xml:space="preserve">Cleansing Required</t>
  </si>
  <si>
    <t xml:space="preserve">Validation Approach</t>
  </si>
  <si>
    <t xml:space="preserve">Dress Rehearsals Planned</t>
  </si>
  <si>
    <t xml:space="preserve">Rehearsals Completed</t>
  </si>
  <si>
    <t xml:space="preserve">MIG-01</t>
  </si>
  <si>
    <t xml:space="preserve">Device Catalog - Distribution</t>
  </si>
  <si>
    <t xml:space="preserve">legacy/assets.dbo.device</t>
  </si>
  <si>
    <t xml:space="preserve">assets.device</t>
  </si>
  <si>
    <t xml:space="preserve">One-time ETL</t>
  </si>
  <si>
    <t xml:space="preserve">Moderate (code mapping)</t>
  </si>
  <si>
    <t xml:space="preserve">Row count + hash + sample check</t>
  </si>
  <si>
    <t xml:space="preserve">MIG-02</t>
  </si>
  <si>
    <t xml:space="preserve">Device Catalog - Transmission</t>
  </si>
  <si>
    <t xml:space="preserve">legacy/assets.dbo.device_trans</t>
  </si>
  <si>
    <t xml:space="preserve">assets.device (trans)</t>
  </si>
  <si>
    <t xml:space="preserve">Moderate</t>
  </si>
  <si>
    <t xml:space="preserve">Row count + hash + CIP review</t>
  </si>
  <si>
    <t xml:space="preserve">CIP-scoped</t>
  </si>
  <si>
    <t xml:space="preserve">MIG-03</t>
  </si>
  <si>
    <t xml:space="preserve">Device Catalog - Di-Electric</t>
  </si>
  <si>
    <t xml:space="preserve">legacy/dielectric.dbo.fluid_dev</t>
  </si>
  <si>
    <t xml:space="preserve">assets.device (de)</t>
  </si>
  <si>
    <t xml:space="preserve">Low</t>
  </si>
  <si>
    <t xml:space="preserve">Row count + sample check</t>
  </si>
  <si>
    <t xml:space="preserve">MIG-04</t>
  </si>
  <si>
    <t xml:space="preserve">Device Catalog - RTU/Telephonic</t>
  </si>
  <si>
    <t xml:space="preserve">legacy/rtu.dbo.comms_dev</t>
  </si>
  <si>
    <t xml:space="preserve">assets.device (rtu)</t>
  </si>
  <si>
    <t xml:space="preserve">MIG-05</t>
  </si>
  <si>
    <t xml:space="preserve">Device Catalog - Steam</t>
  </si>
  <si>
    <t xml:space="preserve">legacy/steam.dbo.steam_dev</t>
  </si>
  <si>
    <t xml:space="preserve">assets.device (st)</t>
  </si>
  <si>
    <t xml:space="preserve">MIG-06</t>
  </si>
  <si>
    <t xml:space="preserve">Customer-Feeder Mapping</t>
  </si>
  <si>
    <t xml:space="preserve">legacy/cis_link.dbo.cust_feeder</t>
  </si>
  <si>
    <t xml:space="preserve">ops.customer_feeder</t>
  </si>
  <si>
    <t xml:space="preserve">One-time ETL + daily delta</t>
  </si>
  <si>
    <t xml:space="preserve">High (null refs, duplicates)</t>
  </si>
  <si>
    <t xml:space="preserve">Total count + district-level reconciliation</t>
  </si>
  <si>
    <t xml:space="preserve">CIS continues as authority</t>
  </si>
  <si>
    <t xml:space="preserve">MIG-07</t>
  </si>
  <si>
    <t xml:space="preserve">Historical Cards (5 years)</t>
  </si>
  <si>
    <t xml:space="preserve">legacy/oms.dbo.card + linked</t>
  </si>
  <si>
    <t xml:space="preserve">ops.card_history</t>
  </si>
  <si>
    <t xml:space="preserve">Phased by year; newest first</t>
  </si>
  <si>
    <t xml:space="preserve">High</t>
  </si>
  <si>
    <t xml:space="preserve">Per-year reconciliation</t>
  </si>
  <si>
    <t xml:space="preserve">Separate from active cards</t>
  </si>
  <si>
    <t xml:space="preserve">MIG-08</t>
  </si>
  <si>
    <t xml:space="preserve">Historical Switching Orders</t>
  </si>
  <si>
    <t xml:space="preserve">legacy/swman.dbo.swo + steps</t>
  </si>
  <si>
    <t xml:space="preserve">ops.swo_history</t>
  </si>
  <si>
    <t xml:space="preserve">Phased by year</t>
  </si>
  <si>
    <t xml:space="preserve">MIG-09</t>
  </si>
  <si>
    <t xml:space="preserve">Historical Clearances</t>
  </si>
  <si>
    <t xml:space="preserve">legacy/clr.dbo.clearance</t>
  </si>
  <si>
    <t xml:space="preserve">ops.clearance_history</t>
  </si>
  <si>
    <t xml:space="preserve">Phased</t>
  </si>
  <si>
    <t xml:space="preserve">MIG-10</t>
  </si>
  <si>
    <t xml:space="preserve">User Accounts (names + roles)</t>
  </si>
  <si>
    <t xml:space="preserve">legacy/auth.dbo.user_role</t>
  </si>
  <si>
    <t xml:space="preserve">iam.user_role</t>
  </si>
  <si>
    <t xml:space="preserve">One-time sync + future SSO</t>
  </si>
  <si>
    <t xml:space="preserve">High (role mapping)</t>
  </si>
  <si>
    <t xml:space="preserve">1:1 reconciliation + role validation</t>
  </si>
  <si>
    <t xml:space="preserve">MIG-11</t>
  </si>
  <si>
    <t xml:space="preserve">Audit Records (NERC CIP retention)</t>
  </si>
  <si>
    <t xml:space="preserve">legacy/audit.dbo.audit_log</t>
  </si>
  <si>
    <t xml:space="preserve">audit.event</t>
  </si>
  <si>
    <t xml:space="preserve">Phased ELT; preserve timestamps</t>
  </si>
  <si>
    <t xml:space="preserve">Hash validation; count per day</t>
  </si>
  <si>
    <t xml:space="preserve">7+ year retention required</t>
  </si>
  <si>
    <t xml:space="preserve">MIG-12</t>
  </si>
  <si>
    <t xml:space="preserve">Switching Templates</t>
  </si>
  <si>
    <t xml:space="preserve">legacy/swman.dbo.template</t>
  </si>
  <si>
    <t xml:space="preserve">ops.switching_template</t>
  </si>
  <si>
    <t xml:space="preserve">One-time + review</t>
  </si>
  <si>
    <t xml:space="preserve">Review + operator validation</t>
  </si>
  <si>
    <t xml:space="preserve">Product Council review required</t>
  </si>
  <si>
    <t xml:space="preserve">MIG-13</t>
  </si>
  <si>
    <t xml:space="preserve">Reference Data (all domains)</t>
  </si>
  <si>
    <t xml:space="preserve">various reference tables</t>
  </si>
  <si>
    <t xml:space="preserve">reference.*</t>
  </si>
  <si>
    <t xml:space="preserve">One-time + future manual sync</t>
  </si>
  <si>
    <t xml:space="preserve">Full review; hash check</t>
  </si>
  <si>
    <t xml:space="preserve">MIG-14</t>
  </si>
  <si>
    <t xml:space="preserve">Active Cards at Cutover</t>
  </si>
  <si>
    <t xml:space="preserve">legacy/oms.dbo.card (active)</t>
  </si>
  <si>
    <t xml:space="preserve">ops.card</t>
  </si>
  <si>
    <t xml:space="preserve">Trickle sync during parallel run</t>
  </si>
  <si>
    <t xml:space="preserve">Real-time divergence monitoring</t>
  </si>
  <si>
    <t xml:space="preserve">Highest discipline; per-district cutover</t>
  </si>
  <si>
    <t xml:space="preserve">MIG-15</t>
  </si>
  <si>
    <t xml:space="preserve">Active Switching Orders at Cutover</t>
  </si>
  <si>
    <t xml:space="preserve">legacy/swman.dbo.swo (active)</t>
  </si>
  <si>
    <t xml:space="preserve">ops.swo</t>
  </si>
  <si>
    <t xml:space="preserve">Trickle sync</t>
  </si>
  <si>
    <t xml:space="preserve">Per-district cutover</t>
  </si>
  <si>
    <t xml:space="preserve">NERC CIP Applicability Register</t>
  </si>
  <si>
    <t xml:space="preserve">Component-by-component determination of CIP applicability. BES Cyber System scoping and impact rating per CIP-002.</t>
  </si>
  <si>
    <t xml:space="preserve">Compliance Officer + Security Architect sign each determination.</t>
  </si>
  <si>
    <t xml:space="preserve">Component ID</t>
  </si>
  <si>
    <t xml:space="preserve">BES Cyber System?</t>
  </si>
  <si>
    <t xml:space="preserve">Impact Rating</t>
  </si>
  <si>
    <t xml:space="preserve">In ESP?</t>
  </si>
  <si>
    <t xml:space="preserve">In PSP?</t>
  </si>
  <si>
    <t xml:space="preserve">Applicable CIP Standards</t>
  </si>
  <si>
    <t xml:space="preserve">Determination Rationale</t>
  </si>
  <si>
    <t xml:space="preserve">Evidence Artifacts</t>
  </si>
  <si>
    <t xml:space="preserve">Sign-off</t>
  </si>
  <si>
    <t xml:space="preserve">CIP-001</t>
  </si>
  <si>
    <t xml:space="preserve">Y (associated)</t>
  </si>
  <si>
    <t xml:space="preserve">Medium</t>
  </si>
  <si>
    <t xml:space="preserve">CIP-003,004,005,007,008,009,010,011,013</t>
  </si>
  <si>
    <t xml:space="preserve">Handles BES operational data; resides in operational network</t>
  </si>
  <si>
    <t xml:space="preserve">Asset register; ESP/EAP diagram; access control lists</t>
  </si>
  <si>
    <t xml:space="preserve">Pending</t>
  </si>
  <si>
    <t xml:space="preserve">Highest CIP scrutiny</t>
  </si>
  <si>
    <t xml:space="preserve">CIP-002</t>
  </si>
  <si>
    <t xml:space="preserve">Integration Gateway Service (Transmission)</t>
  </si>
  <si>
    <t xml:space="preserve">CIP-003,004,005,007,010,011</t>
  </si>
  <si>
    <t xml:space="preserve">Transmission integration traffic; data touches BES</t>
  </si>
  <si>
    <t xml:space="preserve">Same as above</t>
  </si>
  <si>
    <t xml:space="preserve">CIP-003</t>
  </si>
  <si>
    <t xml:space="preserve">Integration Gateway Service (Distribution)</t>
  </si>
  <si>
    <t xml:space="preserve">Distribution-only path; no BES applicability</t>
  </si>
  <si>
    <t xml:space="preserve">Logical separation evidence</t>
  </si>
  <si>
    <t xml:space="preserve">Physical co-location with PSP controls</t>
  </si>
  <si>
    <t xml:space="preserve">CIP-004</t>
  </si>
  <si>
    <t xml:space="preserve">Switching Order Module (Transmission portion)</t>
  </si>
  <si>
    <t xml:space="preserve">CIP-003,004,005,007,008,009,010,011</t>
  </si>
  <si>
    <t xml:space="preserve">Operates BES Cyber Assets; affects BES reliability</t>
  </si>
  <si>
    <t xml:space="preserve">Component design evidence; access controls</t>
  </si>
  <si>
    <t xml:space="preserve">Safety-critical and CIP-scoped</t>
  </si>
  <si>
    <t xml:space="preserve">CIP-005</t>
  </si>
  <si>
    <t xml:space="preserve">Switching Step Module (Transmission portion)</t>
  </si>
  <si>
    <t xml:space="preserve">CIP-006</t>
  </si>
  <si>
    <t xml:space="preserve">Clearance Module (Transmission portion)</t>
  </si>
  <si>
    <t xml:space="preserve">CIP-007</t>
  </si>
  <si>
    <t xml:space="preserve">Card Module</t>
  </si>
  <si>
    <t xml:space="preserve">Distribution-dominant; tactical data only</t>
  </si>
  <si>
    <t xml:space="preserve">Segregation evidence</t>
  </si>
  <si>
    <t xml:space="preserve">Review if transmission operators use</t>
  </si>
  <si>
    <t xml:space="preserve">CIP-008</t>
  </si>
  <si>
    <t xml:space="preserve">CIP-007,008,010,011</t>
  </si>
  <si>
    <t xml:space="preserve">Stores CIP-evidence audit records; integrity critical</t>
  </si>
  <si>
    <t xml:space="preserve">Immutability controls; access logs</t>
  </si>
  <si>
    <t xml:space="preserve">CIP-009</t>
  </si>
  <si>
    <t xml:space="preserve">Primary PostgreSQL Cluster</t>
  </si>
  <si>
    <t xml:space="preserve">Stores BES operational data</t>
  </si>
  <si>
    <t xml:space="preserve">DB HA docs; access controls; patch records</t>
  </si>
  <si>
    <t xml:space="preserve">CIP-010</t>
  </si>
  <si>
    <t xml:space="preserve">Kafka Cluster</t>
  </si>
  <si>
    <t xml:space="preserve">Carries BES event traffic</t>
  </si>
  <si>
    <t xml:space="preserve">Cluster topology; access controls; patch records</t>
  </si>
  <si>
    <t xml:space="preserve">CIP-011</t>
  </si>
  <si>
    <t xml:space="preserve">Enterprise SIEM integration</t>
  </si>
  <si>
    <t xml:space="preserve">Receives CIP evidence</t>
  </si>
  <si>
    <t xml:space="preserve">Forwarding config; retention records</t>
  </si>
  <si>
    <t xml:space="preserve">CIP-012</t>
  </si>
  <si>
    <t xml:space="preserve">Read-only; replica separated; no operational impact</t>
  </si>
  <si>
    <t xml:space="preserve">Architecture evidence</t>
  </si>
  <si>
    <t xml:space="preserve">Some reports may contain CIP info</t>
  </si>
  <si>
    <t xml:space="preserve">CIP-013</t>
  </si>
  <si>
    <t xml:space="preserve">Operator Workstations</t>
  </si>
  <si>
    <t xml:space="preserve">CIP-004,005,006,007,010,011</t>
  </si>
  <si>
    <t xml:space="preserve">Used to access BES Cyber Systems</t>
  </si>
  <si>
    <t xml:space="preserve">Workstation hardening; MFA; access records</t>
  </si>
  <si>
    <t xml:space="preserve">Existing workstation program</t>
  </si>
  <si>
    <t xml:space="preserve">CIP-014</t>
  </si>
  <si>
    <t xml:space="preserve">Development/Test environments</t>
  </si>
  <si>
    <t xml:space="preserve">Isolated from production; no BES data</t>
  </si>
  <si>
    <t xml:space="preserve">Network segregation evidence</t>
  </si>
  <si>
    <t xml:space="preserve">Confirm data isolation</t>
  </si>
  <si>
    <t xml:space="preserve">Design Phase Risk Log</t>
  </si>
  <si>
    <t xml:space="preserve">Phase 2-specific risks (distinct from program-level risks). Resolution or mitigation required before Design phase exit.</t>
  </si>
  <si>
    <t xml:space="preserve">Any CRITICAL risk open at Design phase exit blocks DAB sign-off.</t>
  </si>
  <si>
    <t xml:space="preserve">Risk ID</t>
  </si>
  <si>
    <t xml:space="preserve">Risk Description</t>
  </si>
  <si>
    <t xml:space="preserve">Likelihood (1-5)</t>
  </si>
  <si>
    <t xml:space="preserve">Impact (1-5)</t>
  </si>
  <si>
    <t xml:space="preserve">Score</t>
  </si>
  <si>
    <t xml:space="preserve">Mitigation</t>
  </si>
  <si>
    <t xml:space="preserve">DR-001</t>
  </si>
  <si>
    <t xml:space="preserve">Chief Architect unintentionally imports legacy patterns via design artifacts</t>
  </si>
  <si>
    <t xml:space="preserve">Dual-signature discipline; P2-05 legacy pattern check per artifact; external architect independent review</t>
  </si>
  <si>
    <t xml:space="preserve">Active</t>
  </si>
  <si>
    <t xml:space="preserve">Counterpart to program risk R-002</t>
  </si>
  <si>
    <t xml:space="preserve">DR-002</t>
  </si>
  <si>
    <t xml:space="preserve">ADR backlog grows faster than DAB throughput; decisions delayed</t>
  </si>
  <si>
    <t xml:space="preserve">Weekly DAB cadence; batched related ADRs; pre-DAB async review</t>
  </si>
  <si>
    <t xml:space="preserve">Program Manager</t>
  </si>
  <si>
    <t xml:space="preserve">DR-003</t>
  </si>
  <si>
    <t xml:space="preserve">External architect review findings require significant rework</t>
  </si>
  <si>
    <t xml:space="preserve">Schedule review at 3-month mark while adjustable; frame as helpful check not audit</t>
  </si>
  <si>
    <t xml:space="preserve">DR-004</t>
  </si>
  <si>
    <t xml:space="preserve">NERC CIP boundary determinations disputed by Compliance Officer</t>
  </si>
  <si>
    <t xml:space="preserve">Early Compliance engagement; conservative posture; documented rationale</t>
  </si>
  <si>
    <t xml:space="preserve">DR-005</t>
  </si>
  <si>
    <t xml:space="preserve">Integration contract negotiations with Field Work vendor stall</t>
  </si>
  <si>
    <t xml:space="preserve">Escalation path defined; alternative (batch-only interim) identified</t>
  </si>
  <si>
    <t xml:space="preserve">DR-006</t>
  </si>
  <si>
    <t xml:space="preserve">State machine formalization reveals inconsistencies with existing business rules</t>
  </si>
  <si>
    <t xml:space="preserve">Expected and acceptable; drives rule review cycle with Product Council</t>
  </si>
  <si>
    <t xml:space="preserve">DR-007</t>
  </si>
  <si>
    <t xml:space="preserve">Spike budget overruns dilute Design phase velocity</t>
  </si>
  <si>
    <t xml:space="preserve">Strict time-box; halt-and-capture if exceeded; spike postmortems</t>
  </si>
  <si>
    <t xml:space="preserve">DR-008</t>
  </si>
  <si>
    <t xml:space="preserve">Legacy code archaeology (vendor) reveals undocumented rules that reshape design</t>
  </si>
  <si>
    <t xml:space="preserve">Expected and planned-for; Design iteration built into schedule</t>
  </si>
  <si>
    <t xml:space="preserve">DR-009</t>
  </si>
  <si>
    <t xml:space="preserve">Product Council operators unavailable for safety-critical sign-offs due to operational demands</t>
  </si>
  <si>
    <t xml:space="preserve">Scheduled sessions; advance notice; backup operator identified per area</t>
  </si>
  <si>
    <t xml:space="preserve">DR-010</t>
  </si>
  <si>
    <t xml:space="preserve">Senior engineer deputy capacity split between design and senior mentoring</t>
  </si>
  <si>
    <t xml:space="preserve">Explicit time allocation; mentoring pair-up to share load</t>
  </si>
  <si>
    <t xml:space="preserve">DR-011</t>
  </si>
  <si>
    <t xml:space="preserve">Design outputs don't decompose cleanly to stories for Build</t>
  </si>
  <si>
    <t xml:space="preserve">Epic → Story decomposition via P2-01/P2-02 during design; verify testability</t>
  </si>
  <si>
    <t xml:space="preserve">POs + Sr Engs</t>
  </si>
  <si>
    <t xml:space="preserve">DR-012</t>
  </si>
  <si>
    <t xml:space="preserve">Data migration approach proves infeasible for active cards at cutover</t>
  </si>
  <si>
    <t xml:space="preserve">Dress rehearsals starting in Phase 3; fallback to bulk cutover approach if trickle-sync fails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</si>
</sst>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CFE2F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3"/>
      <c r="C2" s="3"/>
      <c r="D2" s="3"/>
      <c r="E2" s="3"/>
      <c r="F2" s="3"/>
    </row>
    <row r="3" customFormat="false" ht="23.85" hidden="false" customHeight="true" outlineLevel="0" collapsed="false">
      <c r="A3" s="4" t="s">
        <v>1</v>
      </c>
      <c r="B3" s="3" t="s">
        <v>2</v>
      </c>
      <c r="C3" s="3"/>
      <c r="D3" s="3"/>
      <c r="E3" s="3"/>
      <c r="F3" s="3"/>
    </row>
    <row r="4" customFormat="false" ht="15" hidden="false" customHeight="false" outlineLevel="0" collapsed="false">
      <c r="A4" s="2"/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3" t="s">
        <v>4</v>
      </c>
      <c r="C5" s="3"/>
      <c r="D5" s="3"/>
      <c r="E5" s="3"/>
      <c r="F5" s="3"/>
    </row>
    <row r="6" customFormat="false" ht="15" hidden="false" customHeight="false" outlineLevel="0" collapsed="false">
      <c r="A6" s="2"/>
      <c r="B6" s="3"/>
      <c r="C6" s="3"/>
      <c r="D6" s="3"/>
      <c r="E6" s="3"/>
      <c r="F6" s="3"/>
    </row>
    <row r="7" customFormat="false" ht="23.85" hidden="false" customHeight="true" outlineLevel="0" collapsed="false">
      <c r="A7" s="4" t="s">
        <v>5</v>
      </c>
      <c r="B7" s="3" t="s">
        <v>6</v>
      </c>
      <c r="C7" s="3"/>
      <c r="D7" s="3"/>
      <c r="E7" s="3"/>
      <c r="F7" s="3"/>
    </row>
    <row r="8" customFormat="false" ht="23.85" hidden="false" customHeight="true" outlineLevel="0" collapsed="false">
      <c r="A8" s="4" t="s">
        <v>7</v>
      </c>
      <c r="B8" s="3" t="s">
        <v>8</v>
      </c>
      <c r="C8" s="3"/>
      <c r="D8" s="3"/>
      <c r="E8" s="3"/>
      <c r="F8" s="3"/>
    </row>
    <row r="9" customFormat="false" ht="15" hidden="false" customHeight="false" outlineLevel="0" collapsed="false">
      <c r="A9" s="2"/>
      <c r="B9" s="3"/>
      <c r="C9" s="3"/>
      <c r="D9" s="3"/>
      <c r="E9" s="3"/>
      <c r="F9" s="3"/>
    </row>
    <row r="10" customFormat="false" ht="15" hidden="false" customHeight="false" outlineLevel="0" collapsed="false">
      <c r="A10" s="4" t="s">
        <v>9</v>
      </c>
      <c r="B10" s="3"/>
      <c r="C10" s="3"/>
      <c r="D10" s="3"/>
      <c r="E10" s="3"/>
      <c r="F10" s="3"/>
    </row>
    <row r="11" customFormat="false" ht="15" hidden="false" customHeight="true" outlineLevel="0" collapsed="false">
      <c r="A11" s="2" t="s">
        <v>10</v>
      </c>
      <c r="B11" s="3" t="s">
        <v>11</v>
      </c>
      <c r="C11" s="3"/>
      <c r="D11" s="3"/>
      <c r="E11" s="3"/>
      <c r="F11" s="3"/>
    </row>
    <row r="12" customFormat="false" ht="15" hidden="false" customHeight="true" outlineLevel="0" collapsed="false">
      <c r="A12" s="2" t="s">
        <v>12</v>
      </c>
      <c r="B12" s="3" t="s">
        <v>13</v>
      </c>
      <c r="C12" s="3"/>
      <c r="D12" s="3"/>
      <c r="E12" s="3"/>
      <c r="F12" s="3"/>
    </row>
    <row r="13" customFormat="false" ht="15" hidden="false" customHeight="true" outlineLevel="0" collapsed="false">
      <c r="A13" s="2" t="s">
        <v>14</v>
      </c>
      <c r="B13" s="3" t="s">
        <v>15</v>
      </c>
      <c r="C13" s="3"/>
      <c r="D13" s="3"/>
      <c r="E13" s="3"/>
      <c r="F13" s="3"/>
    </row>
    <row r="14" customFormat="false" ht="15" hidden="false" customHeight="true" outlineLevel="0" collapsed="false">
      <c r="A14" s="2" t="s">
        <v>16</v>
      </c>
      <c r="B14" s="3" t="s">
        <v>17</v>
      </c>
      <c r="C14" s="3"/>
      <c r="D14" s="3"/>
      <c r="E14" s="3"/>
      <c r="F14" s="3"/>
    </row>
    <row r="15" customFormat="false" ht="15" hidden="false" customHeight="true" outlineLevel="0" collapsed="false">
      <c r="A15" s="2" t="s">
        <v>18</v>
      </c>
      <c r="B15" s="3" t="s">
        <v>19</v>
      </c>
      <c r="C15" s="3"/>
      <c r="D15" s="3"/>
      <c r="E15" s="3"/>
      <c r="F15" s="3"/>
    </row>
    <row r="16" customFormat="false" ht="15" hidden="false" customHeight="true" outlineLevel="0" collapsed="false">
      <c r="A16" s="2" t="s">
        <v>20</v>
      </c>
      <c r="B16" s="3" t="s">
        <v>21</v>
      </c>
      <c r="C16" s="3"/>
      <c r="D16" s="3"/>
      <c r="E16" s="3"/>
      <c r="F16" s="3"/>
    </row>
    <row r="17" customFormat="false" ht="15" hidden="false" customHeight="true" outlineLevel="0" collapsed="false">
      <c r="A17" s="2" t="s">
        <v>22</v>
      </c>
      <c r="B17" s="3" t="s">
        <v>23</v>
      </c>
      <c r="C17" s="3"/>
      <c r="D17" s="3"/>
      <c r="E17" s="3"/>
      <c r="F17" s="3"/>
    </row>
    <row r="18" customFormat="false" ht="15" hidden="false" customHeight="true" outlineLevel="0" collapsed="false">
      <c r="A18" s="2" t="s">
        <v>24</v>
      </c>
      <c r="B18" s="3" t="s">
        <v>25</v>
      </c>
      <c r="C18" s="3"/>
      <c r="D18" s="3"/>
      <c r="E18" s="3"/>
      <c r="F18" s="3"/>
    </row>
    <row r="19" customFormat="false" ht="15" hidden="false" customHeight="true" outlineLevel="0" collapsed="false">
      <c r="A19" s="2" t="s">
        <v>26</v>
      </c>
      <c r="B19" s="3" t="s">
        <v>27</v>
      </c>
      <c r="C19" s="3"/>
      <c r="D19" s="3"/>
      <c r="E19" s="3"/>
      <c r="F19" s="3"/>
    </row>
    <row r="20" customFormat="false" ht="15" hidden="false" customHeight="true" outlineLevel="0" collapsed="false">
      <c r="A20" s="2" t="s">
        <v>28</v>
      </c>
      <c r="B20" s="3" t="s">
        <v>29</v>
      </c>
      <c r="C20" s="3"/>
      <c r="D20" s="3"/>
      <c r="E20" s="3"/>
      <c r="F20" s="3"/>
    </row>
    <row r="21" customFormat="false" ht="15" hidden="false" customHeight="true" outlineLevel="0" collapsed="false">
      <c r="A21" s="2" t="s">
        <v>30</v>
      </c>
      <c r="B21" s="3" t="s">
        <v>31</v>
      </c>
      <c r="C21" s="3"/>
      <c r="D21" s="3"/>
      <c r="E21" s="3"/>
      <c r="F21" s="3"/>
    </row>
    <row r="22" customFormat="false" ht="15" hidden="false" customHeight="false" outlineLevel="0" collapsed="false">
      <c r="A22" s="2"/>
      <c r="B22" s="3"/>
      <c r="C22" s="3"/>
      <c r="D22" s="3"/>
      <c r="E22" s="3"/>
      <c r="F22" s="3"/>
    </row>
    <row r="23" customFormat="false" ht="15" hidden="false" customHeight="false" outlineLevel="0" collapsed="false">
      <c r="A23" s="4" t="s">
        <v>32</v>
      </c>
      <c r="B23" s="3"/>
      <c r="C23" s="3"/>
      <c r="D23" s="3"/>
      <c r="E23" s="3"/>
      <c r="F23" s="3"/>
    </row>
    <row r="24" customFormat="false" ht="23.85" hidden="false" customHeight="true" outlineLevel="0" collapsed="false">
      <c r="A24" s="2" t="s">
        <v>33</v>
      </c>
      <c r="B24" s="3" t="s">
        <v>34</v>
      </c>
      <c r="C24" s="3"/>
      <c r="D24" s="3"/>
      <c r="E24" s="3"/>
      <c r="F24" s="3"/>
    </row>
    <row r="25" customFormat="false" ht="15" hidden="false" customHeight="true" outlineLevel="0" collapsed="false">
      <c r="A25" s="2" t="s">
        <v>35</v>
      </c>
      <c r="B25" s="3" t="s">
        <v>36</v>
      </c>
      <c r="C25" s="3"/>
      <c r="D25" s="3"/>
      <c r="E25" s="3"/>
      <c r="F25" s="3"/>
    </row>
    <row r="26" customFormat="false" ht="15" hidden="false" customHeight="true" outlineLevel="0" collapsed="false">
      <c r="A26" s="2" t="s">
        <v>37</v>
      </c>
      <c r="B26" s="3" t="s">
        <v>38</v>
      </c>
      <c r="C26" s="3"/>
      <c r="D26" s="3"/>
      <c r="E26" s="3"/>
      <c r="F26" s="3"/>
    </row>
    <row r="27" customFormat="false" ht="15" hidden="false" customHeight="true" outlineLevel="0" collapsed="false">
      <c r="A27" s="2" t="s">
        <v>39</v>
      </c>
      <c r="B27" s="3" t="s">
        <v>40</v>
      </c>
      <c r="C27" s="3"/>
      <c r="D27" s="3"/>
      <c r="E27" s="3"/>
      <c r="F27" s="3"/>
    </row>
    <row r="28" customFormat="false" ht="15" hidden="false" customHeight="true" outlineLevel="0" collapsed="false">
      <c r="A28" s="2" t="s">
        <v>41</v>
      </c>
      <c r="B28" s="3" t="s">
        <v>42</v>
      </c>
      <c r="C28" s="3"/>
      <c r="D28" s="3"/>
      <c r="E28" s="3"/>
      <c r="F28" s="3"/>
    </row>
  </sheetData>
  <mergeCells count="28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8" min="7" style="0" width="18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45"/>
    <col collapsed="false" customWidth="true" hidden="false" outlineLevel="0" max="13" min="13" style="0" width="18"/>
  </cols>
  <sheetData>
    <row r="1" customFormat="false" ht="24" hidden="false" customHeight="true" outlineLevel="0" collapsed="false">
      <c r="A1" s="5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15" hidden="false" customHeight="false" outlineLevel="0" collapsed="false">
      <c r="A2" s="6" t="s">
        <v>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15" hidden="false" customHeight="false" outlineLevel="0" collapsed="false">
      <c r="A3" s="6" t="s">
        <v>45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31.5" hidden="false" customHeight="true" outlineLevel="0" collapsed="false">
      <c r="A4" s="7" t="s">
        <v>46</v>
      </c>
      <c r="B4" s="7" t="s">
        <v>47</v>
      </c>
      <c r="C4" s="7" t="s">
        <v>48</v>
      </c>
      <c r="D4" s="7" t="s">
        <v>49</v>
      </c>
      <c r="E4" s="7" t="s">
        <v>50</v>
      </c>
      <c r="F4" s="7" t="s">
        <v>51</v>
      </c>
      <c r="G4" s="7" t="s">
        <v>52</v>
      </c>
      <c r="H4" s="7" t="s">
        <v>53</v>
      </c>
      <c r="I4" s="7" t="s">
        <v>54</v>
      </c>
      <c r="J4" s="7" t="s">
        <v>55</v>
      </c>
      <c r="K4" s="7" t="s">
        <v>56</v>
      </c>
      <c r="L4" s="7" t="s">
        <v>57</v>
      </c>
      <c r="M4" s="7" t="s">
        <v>58</v>
      </c>
    </row>
    <row r="5" customFormat="false" ht="23.85" hidden="false" customHeight="false" outlineLevel="0" collapsed="false">
      <c r="A5" s="8" t="s">
        <v>59</v>
      </c>
      <c r="B5" s="8" t="s">
        <v>60</v>
      </c>
      <c r="C5" s="8" t="s">
        <v>61</v>
      </c>
      <c r="D5" s="8" t="s">
        <v>62</v>
      </c>
      <c r="E5" s="9" t="s">
        <v>63</v>
      </c>
      <c r="F5" s="9" t="s">
        <v>64</v>
      </c>
      <c r="G5" s="8" t="s">
        <v>65</v>
      </c>
      <c r="H5" s="8" t="s">
        <v>66</v>
      </c>
      <c r="I5" s="8" t="s">
        <v>67</v>
      </c>
      <c r="J5" s="8"/>
      <c r="K5" s="8"/>
      <c r="L5" s="8" t="s">
        <v>68</v>
      </c>
      <c r="M5" s="8" t="s">
        <v>69</v>
      </c>
    </row>
    <row r="6" customFormat="false" ht="23.85" hidden="false" customHeight="false" outlineLevel="0" collapsed="false">
      <c r="A6" s="8" t="s">
        <v>70</v>
      </c>
      <c r="B6" s="8" t="s">
        <v>71</v>
      </c>
      <c r="C6" s="8" t="s">
        <v>61</v>
      </c>
      <c r="D6" s="8" t="s">
        <v>62</v>
      </c>
      <c r="E6" s="9" t="s">
        <v>63</v>
      </c>
      <c r="F6" s="9" t="s">
        <v>64</v>
      </c>
      <c r="G6" s="8" t="s">
        <v>65</v>
      </c>
      <c r="H6" s="8" t="s">
        <v>66</v>
      </c>
      <c r="I6" s="8" t="s">
        <v>67</v>
      </c>
      <c r="J6" s="8"/>
      <c r="K6" s="8"/>
      <c r="L6" s="8" t="s">
        <v>72</v>
      </c>
      <c r="M6" s="8" t="s">
        <v>73</v>
      </c>
    </row>
    <row r="7" customFormat="false" ht="23.85" hidden="false" customHeight="false" outlineLevel="0" collapsed="false">
      <c r="A7" s="8" t="s">
        <v>74</v>
      </c>
      <c r="B7" s="8" t="s">
        <v>75</v>
      </c>
      <c r="C7" s="8" t="s">
        <v>61</v>
      </c>
      <c r="D7" s="8" t="s">
        <v>62</v>
      </c>
      <c r="E7" s="9" t="s">
        <v>76</v>
      </c>
      <c r="F7" s="9" t="s">
        <v>77</v>
      </c>
      <c r="G7" s="8" t="s">
        <v>65</v>
      </c>
      <c r="H7" s="8" t="s">
        <v>66</v>
      </c>
      <c r="I7" s="8" t="s">
        <v>67</v>
      </c>
      <c r="J7" s="8"/>
      <c r="K7" s="8"/>
      <c r="L7" s="8" t="s">
        <v>78</v>
      </c>
      <c r="M7" s="8" t="s">
        <v>79</v>
      </c>
    </row>
    <row r="8" customFormat="false" ht="23.85" hidden="false" customHeight="false" outlineLevel="0" collapsed="false">
      <c r="A8" s="8" t="s">
        <v>80</v>
      </c>
      <c r="B8" s="8" t="s">
        <v>81</v>
      </c>
      <c r="C8" s="8" t="s">
        <v>61</v>
      </c>
      <c r="D8" s="8" t="s">
        <v>62</v>
      </c>
      <c r="E8" s="9" t="s">
        <v>76</v>
      </c>
      <c r="F8" s="9" t="s">
        <v>77</v>
      </c>
      <c r="G8" s="8" t="s">
        <v>65</v>
      </c>
      <c r="H8" s="8" t="s">
        <v>66</v>
      </c>
      <c r="I8" s="8" t="s">
        <v>67</v>
      </c>
      <c r="J8" s="8"/>
      <c r="K8" s="8"/>
      <c r="L8" s="8" t="s">
        <v>82</v>
      </c>
      <c r="M8" s="8" t="s">
        <v>83</v>
      </c>
    </row>
    <row r="9" customFormat="false" ht="23.85" hidden="false" customHeight="false" outlineLevel="0" collapsed="false">
      <c r="A9" s="8" t="s">
        <v>84</v>
      </c>
      <c r="B9" s="8" t="s">
        <v>85</v>
      </c>
      <c r="C9" s="8" t="s">
        <v>86</v>
      </c>
      <c r="D9" s="8" t="s">
        <v>62</v>
      </c>
      <c r="E9" s="9" t="s">
        <v>64</v>
      </c>
      <c r="F9" s="9" t="s">
        <v>87</v>
      </c>
      <c r="G9" s="8" t="s">
        <v>65</v>
      </c>
      <c r="H9" s="8" t="s">
        <v>66</v>
      </c>
      <c r="I9" s="8" t="s">
        <v>67</v>
      </c>
      <c r="J9" s="8"/>
      <c r="K9" s="8"/>
      <c r="L9" s="8" t="s">
        <v>88</v>
      </c>
      <c r="M9" s="8" t="s">
        <v>89</v>
      </c>
    </row>
    <row r="10" customFormat="false" ht="23.85" hidden="false" customHeight="false" outlineLevel="0" collapsed="false">
      <c r="A10" s="8" t="s">
        <v>90</v>
      </c>
      <c r="B10" s="8" t="s">
        <v>91</v>
      </c>
      <c r="C10" s="8" t="s">
        <v>92</v>
      </c>
      <c r="D10" s="8" t="s">
        <v>62</v>
      </c>
      <c r="E10" s="9" t="s">
        <v>77</v>
      </c>
      <c r="F10" s="9" t="s">
        <v>93</v>
      </c>
      <c r="G10" s="8" t="s">
        <v>65</v>
      </c>
      <c r="H10" s="8" t="s">
        <v>66</v>
      </c>
      <c r="I10" s="8" t="s">
        <v>94</v>
      </c>
      <c r="J10" s="8" t="s">
        <v>95</v>
      </c>
      <c r="K10" s="8"/>
      <c r="L10" s="8" t="s">
        <v>96</v>
      </c>
      <c r="M10" s="8" t="s">
        <v>97</v>
      </c>
    </row>
    <row r="11" customFormat="false" ht="23.85" hidden="false" customHeight="false" outlineLevel="0" collapsed="false">
      <c r="A11" s="8" t="s">
        <v>98</v>
      </c>
      <c r="B11" s="8" t="s">
        <v>99</v>
      </c>
      <c r="C11" s="8" t="s">
        <v>100</v>
      </c>
      <c r="D11" s="8" t="s">
        <v>62</v>
      </c>
      <c r="E11" s="9" t="s">
        <v>77</v>
      </c>
      <c r="F11" s="9" t="s">
        <v>93</v>
      </c>
      <c r="G11" s="8" t="s">
        <v>65</v>
      </c>
      <c r="H11" s="8" t="s">
        <v>66</v>
      </c>
      <c r="I11" s="8" t="s">
        <v>94</v>
      </c>
      <c r="J11" s="8" t="s">
        <v>95</v>
      </c>
      <c r="K11" s="8"/>
      <c r="L11" s="8" t="s">
        <v>101</v>
      </c>
      <c r="M11" s="8" t="s">
        <v>102</v>
      </c>
    </row>
    <row r="12" customFormat="false" ht="23.85" hidden="false" customHeight="false" outlineLevel="0" collapsed="false">
      <c r="A12" s="8" t="s">
        <v>103</v>
      </c>
      <c r="B12" s="8" t="s">
        <v>104</v>
      </c>
      <c r="C12" s="8" t="s">
        <v>105</v>
      </c>
      <c r="D12" s="8" t="s">
        <v>62</v>
      </c>
      <c r="E12" s="9" t="s">
        <v>87</v>
      </c>
      <c r="F12" s="9" t="s">
        <v>106</v>
      </c>
      <c r="G12" s="8" t="s">
        <v>65</v>
      </c>
      <c r="H12" s="8" t="s">
        <v>66</v>
      </c>
      <c r="I12" s="8" t="s">
        <v>67</v>
      </c>
      <c r="J12" s="8"/>
      <c r="K12" s="8"/>
      <c r="L12" s="8" t="s">
        <v>107</v>
      </c>
      <c r="M12" s="8" t="s">
        <v>108</v>
      </c>
    </row>
    <row r="13" customFormat="false" ht="23.85" hidden="false" customHeight="false" outlineLevel="0" collapsed="false">
      <c r="A13" s="8" t="s">
        <v>109</v>
      </c>
      <c r="B13" s="8" t="s">
        <v>110</v>
      </c>
      <c r="C13" s="8" t="s">
        <v>100</v>
      </c>
      <c r="D13" s="8" t="s">
        <v>62</v>
      </c>
      <c r="E13" s="9" t="s">
        <v>87</v>
      </c>
      <c r="F13" s="9" t="s">
        <v>106</v>
      </c>
      <c r="G13" s="8" t="s">
        <v>65</v>
      </c>
      <c r="H13" s="8" t="s">
        <v>66</v>
      </c>
      <c r="I13" s="8" t="s">
        <v>67</v>
      </c>
      <c r="J13" s="8"/>
      <c r="K13" s="8"/>
      <c r="L13" s="8" t="s">
        <v>111</v>
      </c>
      <c r="M13" s="8" t="s">
        <v>112</v>
      </c>
    </row>
    <row r="14" customFormat="false" ht="23.85" hidden="false" customHeight="false" outlineLevel="0" collapsed="false">
      <c r="A14" s="8" t="s">
        <v>113</v>
      </c>
      <c r="B14" s="8" t="s">
        <v>114</v>
      </c>
      <c r="C14" s="8" t="s">
        <v>100</v>
      </c>
      <c r="D14" s="8" t="s">
        <v>62</v>
      </c>
      <c r="E14" s="9" t="s">
        <v>93</v>
      </c>
      <c r="F14" s="9" t="s">
        <v>115</v>
      </c>
      <c r="G14" s="8" t="s">
        <v>65</v>
      </c>
      <c r="H14" s="8" t="s">
        <v>66</v>
      </c>
      <c r="I14" s="8" t="s">
        <v>94</v>
      </c>
      <c r="J14" s="8" t="s">
        <v>95</v>
      </c>
      <c r="K14" s="8"/>
      <c r="L14" s="8" t="s">
        <v>116</v>
      </c>
      <c r="M14" s="8" t="s">
        <v>117</v>
      </c>
    </row>
    <row r="15" customFormat="false" ht="23.85" hidden="false" customHeight="false" outlineLevel="0" collapsed="false">
      <c r="A15" s="8" t="s">
        <v>118</v>
      </c>
      <c r="B15" s="8" t="s">
        <v>119</v>
      </c>
      <c r="C15" s="8" t="s">
        <v>61</v>
      </c>
      <c r="D15" s="8" t="s">
        <v>62</v>
      </c>
      <c r="E15" s="9" t="s">
        <v>93</v>
      </c>
      <c r="F15" s="9" t="s">
        <v>115</v>
      </c>
      <c r="G15" s="8" t="s">
        <v>65</v>
      </c>
      <c r="H15" s="8" t="s">
        <v>66</v>
      </c>
      <c r="I15" s="8" t="s">
        <v>67</v>
      </c>
      <c r="J15" s="8"/>
      <c r="K15" s="8"/>
      <c r="L15" s="8" t="s">
        <v>120</v>
      </c>
      <c r="M15" s="8" t="s">
        <v>121</v>
      </c>
    </row>
    <row r="16" customFormat="false" ht="23.85" hidden="false" customHeight="false" outlineLevel="0" collapsed="false">
      <c r="A16" s="8" t="s">
        <v>122</v>
      </c>
      <c r="B16" s="8" t="s">
        <v>123</v>
      </c>
      <c r="C16" s="8" t="s">
        <v>61</v>
      </c>
      <c r="D16" s="8" t="s">
        <v>62</v>
      </c>
      <c r="E16" s="9" t="s">
        <v>106</v>
      </c>
      <c r="F16" s="9" t="s">
        <v>124</v>
      </c>
      <c r="G16" s="8" t="s">
        <v>65</v>
      </c>
      <c r="H16" s="8" t="s">
        <v>66</v>
      </c>
      <c r="I16" s="8" t="s">
        <v>67</v>
      </c>
      <c r="J16" s="8"/>
      <c r="K16" s="8"/>
      <c r="L16" s="8" t="s">
        <v>125</v>
      </c>
      <c r="M16" s="8" t="s">
        <v>126</v>
      </c>
    </row>
    <row r="17" customFormat="false" ht="23.85" hidden="false" customHeight="false" outlineLevel="0" collapsed="false">
      <c r="A17" s="8" t="s">
        <v>127</v>
      </c>
      <c r="B17" s="8" t="s">
        <v>128</v>
      </c>
      <c r="C17" s="8" t="s">
        <v>129</v>
      </c>
      <c r="D17" s="8" t="s">
        <v>62</v>
      </c>
      <c r="E17" s="9" t="s">
        <v>106</v>
      </c>
      <c r="F17" s="9" t="s">
        <v>124</v>
      </c>
      <c r="G17" s="8" t="s">
        <v>65</v>
      </c>
      <c r="H17" s="8" t="s">
        <v>66</v>
      </c>
      <c r="I17" s="8" t="s">
        <v>67</v>
      </c>
      <c r="J17" s="8"/>
      <c r="K17" s="8"/>
      <c r="L17" s="8" t="s">
        <v>130</v>
      </c>
      <c r="M17" s="8" t="s">
        <v>131</v>
      </c>
    </row>
    <row r="18" customFormat="false" ht="23.85" hidden="false" customHeight="false" outlineLevel="0" collapsed="false">
      <c r="A18" s="8" t="s">
        <v>132</v>
      </c>
      <c r="B18" s="8" t="s">
        <v>133</v>
      </c>
      <c r="C18" s="8" t="s">
        <v>61</v>
      </c>
      <c r="D18" s="8" t="s">
        <v>62</v>
      </c>
      <c r="E18" s="9" t="s">
        <v>115</v>
      </c>
      <c r="F18" s="9" t="s">
        <v>134</v>
      </c>
      <c r="G18" s="8" t="s">
        <v>65</v>
      </c>
      <c r="H18" s="8" t="s">
        <v>66</v>
      </c>
      <c r="I18" s="8" t="s">
        <v>67</v>
      </c>
      <c r="J18" s="8"/>
      <c r="K18" s="8"/>
      <c r="L18" s="8" t="s">
        <v>135</v>
      </c>
      <c r="M18" s="8" t="s">
        <v>136</v>
      </c>
    </row>
    <row r="19" customFormat="false" ht="23.85" hidden="false" customHeight="false" outlineLevel="0" collapsed="false">
      <c r="A19" s="8" t="s">
        <v>137</v>
      </c>
      <c r="B19" s="8" t="s">
        <v>138</v>
      </c>
      <c r="C19" s="8" t="s">
        <v>92</v>
      </c>
      <c r="D19" s="8" t="s">
        <v>62</v>
      </c>
      <c r="E19" s="9" t="s">
        <v>115</v>
      </c>
      <c r="F19" s="9" t="s">
        <v>134</v>
      </c>
      <c r="G19" s="8" t="s">
        <v>65</v>
      </c>
      <c r="H19" s="8" t="s">
        <v>66</v>
      </c>
      <c r="I19" s="8" t="s">
        <v>67</v>
      </c>
      <c r="J19" s="8"/>
      <c r="K19" s="8"/>
      <c r="L19" s="8" t="s">
        <v>139</v>
      </c>
      <c r="M19" s="8" t="s">
        <v>140</v>
      </c>
    </row>
    <row r="20" customFormat="false" ht="23.85" hidden="false" customHeight="false" outlineLevel="0" collapsed="false">
      <c r="A20" s="8" t="s">
        <v>141</v>
      </c>
      <c r="B20" s="8" t="s">
        <v>142</v>
      </c>
      <c r="C20" s="8" t="s">
        <v>105</v>
      </c>
      <c r="D20" s="8" t="s">
        <v>62</v>
      </c>
      <c r="E20" s="9" t="s">
        <v>124</v>
      </c>
      <c r="F20" s="9" t="s">
        <v>143</v>
      </c>
      <c r="G20" s="8" t="s">
        <v>65</v>
      </c>
      <c r="H20" s="8" t="s">
        <v>66</v>
      </c>
      <c r="I20" s="8" t="s">
        <v>67</v>
      </c>
      <c r="J20" s="8"/>
      <c r="K20" s="8"/>
      <c r="L20" s="8" t="s">
        <v>144</v>
      </c>
      <c r="M20" s="8" t="s">
        <v>145</v>
      </c>
    </row>
    <row r="21" customFormat="false" ht="23.85" hidden="false" customHeight="false" outlineLevel="0" collapsed="false">
      <c r="A21" s="8" t="s">
        <v>146</v>
      </c>
      <c r="B21" s="8" t="s">
        <v>147</v>
      </c>
      <c r="C21" s="8" t="s">
        <v>148</v>
      </c>
      <c r="D21" s="8" t="s">
        <v>149</v>
      </c>
      <c r="E21" s="9" t="s">
        <v>134</v>
      </c>
      <c r="F21" s="9"/>
      <c r="G21" s="8"/>
      <c r="H21" s="8"/>
      <c r="I21" s="8" t="s">
        <v>94</v>
      </c>
      <c r="J21" s="8"/>
      <c r="K21" s="8"/>
      <c r="L21" s="8" t="s">
        <v>150</v>
      </c>
      <c r="M21" s="8" t="s">
        <v>151</v>
      </c>
    </row>
    <row r="22" customFormat="false" ht="35.05" hidden="false" customHeight="false" outlineLevel="0" collapsed="false">
      <c r="A22" s="8" t="s">
        <v>152</v>
      </c>
      <c r="B22" s="8" t="s">
        <v>153</v>
      </c>
      <c r="C22" s="8" t="s">
        <v>105</v>
      </c>
      <c r="D22" s="8" t="s">
        <v>149</v>
      </c>
      <c r="E22" s="9" t="s">
        <v>143</v>
      </c>
      <c r="F22" s="9"/>
      <c r="G22" s="8"/>
      <c r="H22" s="8"/>
      <c r="I22" s="8" t="s">
        <v>67</v>
      </c>
      <c r="J22" s="8"/>
      <c r="K22" s="8"/>
      <c r="L22" s="8" t="s">
        <v>154</v>
      </c>
      <c r="M22" s="8" t="s">
        <v>155</v>
      </c>
    </row>
    <row r="23" customFormat="false" ht="23.85" hidden="false" customHeight="false" outlineLevel="0" collapsed="false">
      <c r="A23" s="8" t="s">
        <v>156</v>
      </c>
      <c r="B23" s="8" t="s">
        <v>157</v>
      </c>
      <c r="C23" s="8" t="s">
        <v>158</v>
      </c>
      <c r="D23" s="8" t="s">
        <v>159</v>
      </c>
      <c r="E23" s="9" t="s">
        <v>160</v>
      </c>
      <c r="F23" s="9"/>
      <c r="G23" s="8"/>
      <c r="H23" s="8"/>
      <c r="I23" s="8" t="s">
        <v>67</v>
      </c>
      <c r="J23" s="8"/>
      <c r="K23" s="8"/>
      <c r="L23" s="8" t="s">
        <v>161</v>
      </c>
      <c r="M23" s="8" t="s">
        <v>162</v>
      </c>
    </row>
    <row r="24" customFormat="false" ht="23.85" hidden="false" customHeight="false" outlineLevel="0" collapsed="false">
      <c r="A24" s="8" t="s">
        <v>163</v>
      </c>
      <c r="B24" s="8" t="s">
        <v>164</v>
      </c>
      <c r="C24" s="8" t="s">
        <v>165</v>
      </c>
      <c r="D24" s="8" t="s">
        <v>159</v>
      </c>
      <c r="E24" s="9" t="s">
        <v>160</v>
      </c>
      <c r="F24" s="9"/>
      <c r="G24" s="8"/>
      <c r="H24" s="8"/>
      <c r="I24" s="8" t="s">
        <v>94</v>
      </c>
      <c r="J24" s="8"/>
      <c r="K24" s="8"/>
      <c r="L24" s="8" t="s">
        <v>166</v>
      </c>
      <c r="M24" s="8" t="s">
        <v>167</v>
      </c>
    </row>
    <row r="25" customFormat="false" ht="23.85" hidden="false" customHeight="false" outlineLevel="0" collapsed="false">
      <c r="A25" s="8" t="s">
        <v>168</v>
      </c>
      <c r="B25" s="8" t="s">
        <v>169</v>
      </c>
      <c r="C25" s="8" t="s">
        <v>61</v>
      </c>
      <c r="D25" s="8" t="s">
        <v>159</v>
      </c>
      <c r="E25" s="9" t="s">
        <v>170</v>
      </c>
      <c r="F25" s="9"/>
      <c r="G25" s="8"/>
      <c r="H25" s="8"/>
      <c r="I25" s="8" t="s">
        <v>67</v>
      </c>
      <c r="J25" s="8"/>
      <c r="K25" s="8"/>
      <c r="L25" s="8" t="s">
        <v>171</v>
      </c>
      <c r="M25" s="8" t="s">
        <v>172</v>
      </c>
    </row>
    <row r="26" customFormat="false" ht="23.85" hidden="false" customHeight="false" outlineLevel="0" collapsed="false">
      <c r="A26" s="8" t="s">
        <v>173</v>
      </c>
      <c r="B26" s="8" t="s">
        <v>174</v>
      </c>
      <c r="C26" s="8" t="s">
        <v>61</v>
      </c>
      <c r="D26" s="8" t="s">
        <v>159</v>
      </c>
      <c r="E26" s="9" t="s">
        <v>170</v>
      </c>
      <c r="F26" s="9"/>
      <c r="G26" s="8"/>
      <c r="H26" s="8"/>
      <c r="I26" s="8" t="s">
        <v>67</v>
      </c>
      <c r="J26" s="8"/>
      <c r="K26" s="8"/>
      <c r="L26" s="8" t="s">
        <v>175</v>
      </c>
      <c r="M26" s="8" t="s">
        <v>176</v>
      </c>
    </row>
    <row r="29" customFormat="false" ht="15" hidden="false" customHeight="false" outlineLevel="0" collapsed="false">
      <c r="A29" s="10" t="s">
        <v>177</v>
      </c>
    </row>
    <row r="30" customFormat="false" ht="15" hidden="false" customHeight="false" outlineLevel="0" collapsed="false">
      <c r="A30" s="4" t="s">
        <v>178</v>
      </c>
      <c r="B30" s="11" t="n">
        <f aca="false">COUNTA(A5:A200)-COUNTIF(A5:A200,"")</f>
        <v>-138</v>
      </c>
    </row>
    <row r="31" customFormat="false" ht="15" hidden="false" customHeight="false" outlineLevel="0" collapsed="false">
      <c r="A31" s="4" t="s">
        <v>179</v>
      </c>
      <c r="B31" s="11" t="n">
        <f aca="false">COUNTIF(D5:D200,"Accepted")</f>
        <v>16</v>
      </c>
    </row>
    <row r="32" customFormat="false" ht="15" hidden="false" customHeight="false" outlineLevel="0" collapsed="false">
      <c r="A32" s="4" t="s">
        <v>180</v>
      </c>
      <c r="B32" s="11" t="n">
        <f aca="false">COUNTIF(D5:D200,"Under Review")</f>
        <v>2</v>
      </c>
    </row>
    <row r="33" customFormat="false" ht="15" hidden="false" customHeight="false" outlineLevel="0" collapsed="false">
      <c r="A33" s="4" t="s">
        <v>181</v>
      </c>
      <c r="B33" s="11" t="n">
        <f aca="false">COUNTIF(D5:D200,"Proposed")</f>
        <v>4</v>
      </c>
    </row>
    <row r="34" customFormat="false" ht="15" hidden="false" customHeight="false" outlineLevel="0" collapsed="false">
      <c r="A34" s="4" t="s">
        <v>182</v>
      </c>
      <c r="B34" s="11" t="n">
        <f aca="false">COUNTIF(I5:I200,"Y")</f>
        <v>5</v>
      </c>
    </row>
    <row r="35" customFormat="false" ht="15" hidden="false" customHeight="false" outlineLevel="0" collapsed="false">
      <c r="A35" s="4" t="s">
        <v>183</v>
      </c>
      <c r="B35" s="11" t="n">
        <f aca="false">COUNTIFS(I5:I200,"Y",D5:D200,"Accepted")</f>
        <v>3</v>
      </c>
    </row>
  </sheetData>
  <mergeCells count="3">
    <mergeCell ref="A1:M1"/>
    <mergeCell ref="A2:M2"/>
    <mergeCell ref="A3:M3"/>
  </mergeCells>
  <conditionalFormatting sqref="D5:D200">
    <cfRule type="expression" priority="2" aboveAverage="0" equalAverage="0" bottom="0" percent="0" rank="0" text="" dxfId="0">
      <formula>$D5="Accepted"</formula>
    </cfRule>
    <cfRule type="expression" priority="3" aboveAverage="0" equalAverage="0" bottom="0" percent="0" rank="0" text="" dxfId="1">
      <formula>$D5="Under Review"</formula>
    </cfRule>
    <cfRule type="expression" priority="4" aboveAverage="0" equalAverage="0" bottom="0" percent="0" rank="0" text="" dxfId="2">
      <formula>$D5="Proposed"</formula>
    </cfRule>
    <cfRule type="expression" priority="5" aboveAverage="0" equalAverage="0" bottom="0" percent="0" rank="0" text="" dxfId="3">
      <formula>$D5="Rejected"</formula>
    </cfRule>
  </conditionalFormatting>
  <conditionalFormatting sqref="I5:I200">
    <cfRule type="expression" priority="6" aboveAverage="0" equalAverage="0" bottom="0" percent="0" rank="0" text="" dxfId="4">
      <formula>$I5="Y"</formula>
    </cfRule>
  </conditionalFormatting>
  <conditionalFormatting sqref="G5:H200">
    <cfRule type="expression" priority="7" aboveAverage="0" equalAverage="0" bottom="0" percent="0" rank="0" text="" dxfId="3">
      <formula>AND($D5="Accepted",G5="")</formula>
    </cfRule>
  </conditionalFormatting>
  <dataValidations count="3">
    <dataValidation allowBlank="true" errorStyle="stop" operator="between" showDropDown="false" showErrorMessage="false" showInputMessage="false" sqref="D5:D200" type="list">
      <formula1>"Proposed,Under Review,Accepted,Rejected,Superseded,Deprecated"</formula1>
      <formula2>0</formula2>
    </dataValidation>
    <dataValidation allowBlank="true" errorStyle="stop" operator="between" showDropDown="false" showErrorMessage="false" showInputMessage="false" sqref="I5:I200" type="list">
      <formula1>"Y,N"</formula1>
      <formula2>0</formula2>
    </dataValidation>
    <dataValidation allowBlank="true" errorStyle="stop" operator="between" showDropDown="false" showErrorMessage="false" showInputMessage="false" sqref="C5:C200" type="list">
      <formula1>"Platform,Architecture,Data,Integration,Security,Safety,Compliance,Deployment,Migration,Operations"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35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28"/>
  </cols>
  <sheetData>
    <row r="1" customFormat="false" ht="24" hidden="false" customHeight="true" outlineLevel="0" collapsed="false">
      <c r="A1" s="5" t="s">
        <v>184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6" t="s">
        <v>185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6" t="s">
        <v>186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31.5" hidden="false" customHeight="true" outlineLevel="0" collapsed="false">
      <c r="A4" s="7" t="s">
        <v>187</v>
      </c>
      <c r="B4" s="7" t="s">
        <v>188</v>
      </c>
      <c r="C4" s="7" t="s">
        <v>189</v>
      </c>
      <c r="D4" s="7" t="s">
        <v>190</v>
      </c>
      <c r="E4" s="7" t="s">
        <v>191</v>
      </c>
      <c r="F4" s="7" t="s">
        <v>192</v>
      </c>
      <c r="G4" s="7" t="s">
        <v>193</v>
      </c>
      <c r="H4" s="7" t="s">
        <v>194</v>
      </c>
      <c r="I4" s="7" t="s">
        <v>195</v>
      </c>
      <c r="J4" s="7" t="s">
        <v>196</v>
      </c>
      <c r="K4" s="7" t="s">
        <v>197</v>
      </c>
      <c r="L4" s="7" t="s">
        <v>49</v>
      </c>
      <c r="M4" s="7" t="s">
        <v>198</v>
      </c>
      <c r="N4" s="7" t="s">
        <v>199</v>
      </c>
    </row>
    <row r="5" customFormat="false" ht="23.85" hidden="false" customHeight="false" outlineLevel="0" collapsed="false">
      <c r="A5" s="8" t="s">
        <v>200</v>
      </c>
      <c r="B5" s="8" t="s">
        <v>201</v>
      </c>
      <c r="C5" s="8" t="s">
        <v>202</v>
      </c>
      <c r="D5" s="8" t="s">
        <v>203</v>
      </c>
      <c r="E5" s="8" t="s">
        <v>204</v>
      </c>
      <c r="F5" s="8" t="s">
        <v>205</v>
      </c>
      <c r="G5" s="8" t="s">
        <v>94</v>
      </c>
      <c r="H5" s="8" t="s">
        <v>206</v>
      </c>
      <c r="I5" s="8" t="n">
        <v>8</v>
      </c>
      <c r="J5" s="8" t="n">
        <v>14</v>
      </c>
      <c r="K5" s="8" t="n">
        <v>87</v>
      </c>
      <c r="L5" s="8" t="s">
        <v>207</v>
      </c>
      <c r="M5" s="8"/>
      <c r="N5" s="8" t="s">
        <v>208</v>
      </c>
    </row>
    <row r="6" customFormat="false" ht="15" hidden="false" customHeight="false" outlineLevel="0" collapsed="false">
      <c r="A6" s="8" t="s">
        <v>209</v>
      </c>
      <c r="B6" s="8" t="s">
        <v>210</v>
      </c>
      <c r="C6" s="8" t="s">
        <v>211</v>
      </c>
      <c r="D6" s="8" t="s">
        <v>212</v>
      </c>
      <c r="E6" s="8" t="s">
        <v>204</v>
      </c>
      <c r="F6" s="8" t="s">
        <v>205</v>
      </c>
      <c r="G6" s="8" t="s">
        <v>94</v>
      </c>
      <c r="H6" s="8" t="s">
        <v>206</v>
      </c>
      <c r="I6" s="8" t="n">
        <v>12</v>
      </c>
      <c r="J6" s="8" t="n">
        <v>18</v>
      </c>
      <c r="K6" s="8" t="n">
        <v>102</v>
      </c>
      <c r="L6" s="8" t="s">
        <v>207</v>
      </c>
      <c r="M6" s="8"/>
      <c r="N6" s="8"/>
    </row>
    <row r="7" customFormat="false" ht="23.85" hidden="false" customHeight="false" outlineLevel="0" collapsed="false">
      <c r="A7" s="8" t="s">
        <v>213</v>
      </c>
      <c r="B7" s="8" t="s">
        <v>214</v>
      </c>
      <c r="C7" s="8" t="s">
        <v>215</v>
      </c>
      <c r="D7" s="8" t="s">
        <v>216</v>
      </c>
      <c r="E7" s="8" t="s">
        <v>204</v>
      </c>
      <c r="F7" s="8" t="s">
        <v>205</v>
      </c>
      <c r="G7" s="8" t="s">
        <v>94</v>
      </c>
      <c r="H7" s="8" t="s">
        <v>217</v>
      </c>
      <c r="I7" s="8" t="n">
        <v>9</v>
      </c>
      <c r="J7" s="8" t="n">
        <v>15</v>
      </c>
      <c r="K7" s="8" t="n">
        <v>78</v>
      </c>
      <c r="L7" s="8" t="s">
        <v>207</v>
      </c>
      <c r="M7" s="8"/>
      <c r="N7" s="8"/>
    </row>
    <row r="8" customFormat="false" ht="23.85" hidden="false" customHeight="false" outlineLevel="0" collapsed="false">
      <c r="A8" s="8" t="s">
        <v>218</v>
      </c>
      <c r="B8" s="8" t="s">
        <v>219</v>
      </c>
      <c r="C8" s="8" t="s">
        <v>220</v>
      </c>
      <c r="D8" s="8" t="s">
        <v>221</v>
      </c>
      <c r="E8" s="8" t="s">
        <v>204</v>
      </c>
      <c r="F8" s="8" t="s">
        <v>205</v>
      </c>
      <c r="G8" s="8" t="s">
        <v>94</v>
      </c>
      <c r="H8" s="8" t="s">
        <v>222</v>
      </c>
      <c r="I8" s="8" t="n">
        <v>6</v>
      </c>
      <c r="J8" s="8" t="n">
        <v>22</v>
      </c>
      <c r="K8" s="8" t="n">
        <v>145</v>
      </c>
      <c r="L8" s="8" t="s">
        <v>207</v>
      </c>
      <c r="M8" s="8"/>
      <c r="N8" s="8" t="s">
        <v>223</v>
      </c>
    </row>
    <row r="9" customFormat="false" ht="23.85" hidden="false" customHeight="false" outlineLevel="0" collapsed="false">
      <c r="A9" s="8" t="s">
        <v>224</v>
      </c>
      <c r="B9" s="8" t="s">
        <v>225</v>
      </c>
      <c r="C9" s="8" t="s">
        <v>226</v>
      </c>
      <c r="D9" s="8" t="s">
        <v>227</v>
      </c>
      <c r="E9" s="8" t="s">
        <v>204</v>
      </c>
      <c r="F9" s="8" t="s">
        <v>205</v>
      </c>
      <c r="G9" s="8" t="s">
        <v>94</v>
      </c>
      <c r="H9" s="8" t="s">
        <v>222</v>
      </c>
      <c r="I9" s="8" t="n">
        <v>7</v>
      </c>
      <c r="J9" s="8" t="n">
        <v>12</v>
      </c>
      <c r="K9" s="8" t="n">
        <v>68</v>
      </c>
      <c r="L9" s="8" t="s">
        <v>207</v>
      </c>
      <c r="M9" s="8"/>
      <c r="N9" s="8"/>
    </row>
    <row r="10" customFormat="false" ht="23.85" hidden="false" customHeight="false" outlineLevel="0" collapsed="false">
      <c r="A10" s="8" t="s">
        <v>228</v>
      </c>
      <c r="B10" s="8" t="s">
        <v>229</v>
      </c>
      <c r="C10" s="8" t="s">
        <v>230</v>
      </c>
      <c r="D10" s="8" t="s">
        <v>231</v>
      </c>
      <c r="E10" s="8" t="s">
        <v>204</v>
      </c>
      <c r="F10" s="8" t="s">
        <v>205</v>
      </c>
      <c r="G10" s="8" t="s">
        <v>94</v>
      </c>
      <c r="H10" s="8" t="s">
        <v>232</v>
      </c>
      <c r="I10" s="8" t="n">
        <v>5</v>
      </c>
      <c r="J10" s="8" t="n">
        <v>9</v>
      </c>
      <c r="K10" s="8" t="n">
        <v>45</v>
      </c>
      <c r="L10" s="8" t="s">
        <v>233</v>
      </c>
      <c r="M10" s="8"/>
      <c r="N10" s="8"/>
    </row>
    <row r="11" customFormat="false" ht="15" hidden="false" customHeight="false" outlineLevel="0" collapsed="false">
      <c r="A11" s="8" t="s">
        <v>234</v>
      </c>
      <c r="B11" s="8" t="s">
        <v>235</v>
      </c>
      <c r="C11" s="8" t="s">
        <v>236</v>
      </c>
      <c r="D11" s="8" t="s">
        <v>237</v>
      </c>
      <c r="E11" s="8" t="s">
        <v>238</v>
      </c>
      <c r="F11" s="8" t="s">
        <v>205</v>
      </c>
      <c r="G11" s="8" t="s">
        <v>94</v>
      </c>
      <c r="H11" s="8" t="s">
        <v>217</v>
      </c>
      <c r="I11" s="8" t="n">
        <v>8</v>
      </c>
      <c r="J11" s="8" t="n">
        <v>16</v>
      </c>
      <c r="K11" s="8" t="n">
        <v>89</v>
      </c>
      <c r="L11" s="8" t="s">
        <v>207</v>
      </c>
      <c r="M11" s="8"/>
      <c r="N11" s="8" t="s">
        <v>239</v>
      </c>
    </row>
    <row r="12" customFormat="false" ht="15" hidden="false" customHeight="false" outlineLevel="0" collapsed="false">
      <c r="A12" s="8" t="s">
        <v>240</v>
      </c>
      <c r="B12" s="8" t="s">
        <v>241</v>
      </c>
      <c r="C12" s="8" t="s">
        <v>242</v>
      </c>
      <c r="D12" s="8" t="s">
        <v>243</v>
      </c>
      <c r="E12" s="8" t="s">
        <v>204</v>
      </c>
      <c r="F12" s="8" t="s">
        <v>244</v>
      </c>
      <c r="G12" s="8" t="s">
        <v>67</v>
      </c>
      <c r="H12" s="8" t="s">
        <v>245</v>
      </c>
      <c r="I12" s="8" t="n">
        <v>3</v>
      </c>
      <c r="J12" s="8" t="n">
        <v>7</v>
      </c>
      <c r="K12" s="8" t="n">
        <v>32</v>
      </c>
      <c r="L12" s="8" t="s">
        <v>246</v>
      </c>
      <c r="M12" s="8"/>
      <c r="N12" s="8"/>
    </row>
    <row r="13" customFormat="false" ht="15" hidden="false" customHeight="false" outlineLevel="0" collapsed="false">
      <c r="A13" s="8" t="s">
        <v>247</v>
      </c>
      <c r="B13" s="8" t="s">
        <v>248</v>
      </c>
      <c r="C13" s="8" t="s">
        <v>249</v>
      </c>
      <c r="D13" s="8" t="s">
        <v>250</v>
      </c>
      <c r="E13" s="8" t="s">
        <v>204</v>
      </c>
      <c r="F13" s="8" t="s">
        <v>205</v>
      </c>
      <c r="G13" s="8" t="s">
        <v>94</v>
      </c>
      <c r="H13" s="8" t="s">
        <v>232</v>
      </c>
      <c r="I13" s="8" t="n">
        <v>4</v>
      </c>
      <c r="J13" s="8" t="n">
        <v>8</v>
      </c>
      <c r="K13" s="8" t="n">
        <v>42</v>
      </c>
      <c r="L13" s="8" t="s">
        <v>246</v>
      </c>
      <c r="M13" s="8"/>
      <c r="N13" s="8"/>
    </row>
    <row r="14" customFormat="false" ht="15" hidden="false" customHeight="false" outlineLevel="0" collapsed="false">
      <c r="A14" s="8" t="s">
        <v>251</v>
      </c>
      <c r="B14" s="8" t="s">
        <v>252</v>
      </c>
      <c r="C14" s="8" t="s">
        <v>253</v>
      </c>
      <c r="D14" s="8" t="s">
        <v>254</v>
      </c>
      <c r="E14" s="8" t="s">
        <v>204</v>
      </c>
      <c r="F14" s="8" t="s">
        <v>244</v>
      </c>
      <c r="G14" s="8" t="s">
        <v>67</v>
      </c>
      <c r="H14" s="8" t="s">
        <v>255</v>
      </c>
      <c r="I14" s="8" t="n">
        <v>10</v>
      </c>
      <c r="J14" s="8" t="n">
        <v>14</v>
      </c>
      <c r="K14" s="8" t="n">
        <v>76</v>
      </c>
      <c r="L14" s="8" t="s">
        <v>246</v>
      </c>
      <c r="M14" s="8"/>
      <c r="N14" s="8" t="s">
        <v>256</v>
      </c>
    </row>
    <row r="15" customFormat="false" ht="15" hidden="false" customHeight="false" outlineLevel="0" collapsed="false">
      <c r="A15" s="8" t="s">
        <v>257</v>
      </c>
      <c r="B15" s="8" t="s">
        <v>258</v>
      </c>
      <c r="C15" s="8" t="s">
        <v>259</v>
      </c>
      <c r="D15" s="8" t="s">
        <v>260</v>
      </c>
      <c r="E15" s="8" t="s">
        <v>261</v>
      </c>
      <c r="F15" s="8" t="s">
        <v>205</v>
      </c>
      <c r="G15" s="8" t="s">
        <v>94</v>
      </c>
      <c r="H15" s="8" t="s">
        <v>206</v>
      </c>
      <c r="I15" s="8" t="n">
        <v>8</v>
      </c>
      <c r="J15" s="8" t="n">
        <v>10</v>
      </c>
      <c r="K15" s="8" t="n">
        <v>54</v>
      </c>
      <c r="L15" s="8" t="s">
        <v>207</v>
      </c>
      <c r="M15" s="8"/>
      <c r="N15" s="8"/>
    </row>
    <row r="16" customFormat="false" ht="23.85" hidden="false" customHeight="false" outlineLevel="0" collapsed="false">
      <c r="A16" s="8" t="s">
        <v>262</v>
      </c>
      <c r="B16" s="8" t="s">
        <v>263</v>
      </c>
      <c r="C16" s="8" t="s">
        <v>264</v>
      </c>
      <c r="D16" s="8" t="s">
        <v>265</v>
      </c>
      <c r="E16" s="8" t="s">
        <v>261</v>
      </c>
      <c r="F16" s="8" t="s">
        <v>205</v>
      </c>
      <c r="G16" s="8" t="s">
        <v>67</v>
      </c>
      <c r="H16" s="8" t="s">
        <v>232</v>
      </c>
      <c r="I16" s="8" t="n">
        <v>10</v>
      </c>
      <c r="J16" s="8" t="n">
        <v>14</v>
      </c>
      <c r="K16" s="8" t="n">
        <v>82</v>
      </c>
      <c r="L16" s="8" t="s">
        <v>233</v>
      </c>
      <c r="M16" s="8"/>
      <c r="N16" s="8" t="s">
        <v>266</v>
      </c>
    </row>
    <row r="17" customFormat="false" ht="15" hidden="false" customHeight="false" outlineLevel="0" collapsed="false">
      <c r="A17" s="8" t="s">
        <v>267</v>
      </c>
      <c r="B17" s="8" t="s">
        <v>268</v>
      </c>
      <c r="C17" s="8" t="s">
        <v>269</v>
      </c>
      <c r="D17" s="8" t="s">
        <v>270</v>
      </c>
      <c r="E17" s="8" t="s">
        <v>261</v>
      </c>
      <c r="F17" s="8" t="s">
        <v>205</v>
      </c>
      <c r="G17" s="8" t="s">
        <v>67</v>
      </c>
      <c r="H17" s="8" t="s">
        <v>245</v>
      </c>
      <c r="I17" s="8" t="n">
        <v>6</v>
      </c>
      <c r="J17" s="8" t="n">
        <v>11</v>
      </c>
      <c r="K17" s="8" t="n">
        <v>58</v>
      </c>
      <c r="L17" s="8" t="s">
        <v>246</v>
      </c>
      <c r="M17" s="8"/>
      <c r="N17" s="8"/>
    </row>
    <row r="18" customFormat="false" ht="15" hidden="false" customHeight="false" outlineLevel="0" collapsed="false">
      <c r="A18" s="8" t="s">
        <v>271</v>
      </c>
      <c r="B18" s="8" t="s">
        <v>272</v>
      </c>
      <c r="C18" s="8" t="s">
        <v>273</v>
      </c>
      <c r="D18" s="8" t="s">
        <v>274</v>
      </c>
      <c r="E18" s="8" t="s">
        <v>261</v>
      </c>
      <c r="F18" s="8" t="s">
        <v>244</v>
      </c>
      <c r="G18" s="8" t="s">
        <v>67</v>
      </c>
      <c r="H18" s="8" t="s">
        <v>255</v>
      </c>
      <c r="I18" s="8" t="n">
        <v>4</v>
      </c>
      <c r="J18" s="8" t="n">
        <v>8</v>
      </c>
      <c r="K18" s="8" t="n">
        <v>38</v>
      </c>
      <c r="L18" s="8" t="s">
        <v>246</v>
      </c>
      <c r="M18" s="8"/>
      <c r="N18" s="8"/>
    </row>
    <row r="19" customFormat="false" ht="15" hidden="false" customHeight="false" outlineLevel="0" collapsed="false">
      <c r="A19" s="8" t="s">
        <v>275</v>
      </c>
      <c r="B19" s="8" t="s">
        <v>276</v>
      </c>
      <c r="C19" s="8" t="s">
        <v>277</v>
      </c>
      <c r="D19" s="8" t="s">
        <v>278</v>
      </c>
      <c r="E19" s="8" t="s">
        <v>261</v>
      </c>
      <c r="F19" s="8" t="s">
        <v>244</v>
      </c>
      <c r="G19" s="8" t="s">
        <v>67</v>
      </c>
      <c r="H19" s="8" t="s">
        <v>279</v>
      </c>
      <c r="I19" s="8" t="n">
        <v>8</v>
      </c>
      <c r="J19" s="8" t="n">
        <v>13</v>
      </c>
      <c r="K19" s="8" t="n">
        <v>71</v>
      </c>
      <c r="L19" s="8" t="s">
        <v>246</v>
      </c>
      <c r="M19" s="8"/>
      <c r="N19" s="8"/>
    </row>
    <row r="20" customFormat="false" ht="15" hidden="false" customHeight="false" outlineLevel="0" collapsed="false">
      <c r="A20" s="8" t="s">
        <v>280</v>
      </c>
      <c r="B20" s="8" t="s">
        <v>281</v>
      </c>
      <c r="C20" s="8" t="s">
        <v>282</v>
      </c>
      <c r="D20" s="8" t="s">
        <v>283</v>
      </c>
      <c r="E20" s="8" t="s">
        <v>284</v>
      </c>
      <c r="F20" s="8" t="s">
        <v>205</v>
      </c>
      <c r="G20" s="8" t="s">
        <v>94</v>
      </c>
      <c r="H20" s="8" t="s">
        <v>206</v>
      </c>
      <c r="I20" s="8" t="n">
        <v>5</v>
      </c>
      <c r="J20" s="8" t="n">
        <v>10</v>
      </c>
      <c r="K20" s="8" t="n">
        <v>68</v>
      </c>
      <c r="L20" s="8" t="s">
        <v>207</v>
      </c>
      <c r="M20" s="8"/>
      <c r="N20" s="8" t="s">
        <v>285</v>
      </c>
    </row>
    <row r="21" customFormat="false" ht="15" hidden="false" customHeight="false" outlineLevel="0" collapsed="false">
      <c r="A21" s="8" t="s">
        <v>286</v>
      </c>
      <c r="B21" s="8" t="s">
        <v>287</v>
      </c>
      <c r="C21" s="8" t="s">
        <v>288</v>
      </c>
      <c r="D21" s="8" t="s">
        <v>289</v>
      </c>
      <c r="E21" s="8" t="s">
        <v>284</v>
      </c>
      <c r="F21" s="8" t="s">
        <v>205</v>
      </c>
      <c r="G21" s="8" t="s">
        <v>94</v>
      </c>
      <c r="H21" s="8" t="s">
        <v>217</v>
      </c>
      <c r="I21" s="8" t="n">
        <v>4</v>
      </c>
      <c r="J21" s="8" t="n">
        <v>9</v>
      </c>
      <c r="K21" s="8" t="n">
        <v>54</v>
      </c>
      <c r="L21" s="8" t="s">
        <v>207</v>
      </c>
      <c r="M21" s="8"/>
      <c r="N21" s="8"/>
    </row>
    <row r="22" customFormat="false" ht="15" hidden="false" customHeight="false" outlineLevel="0" collapsed="false">
      <c r="A22" s="8" t="s">
        <v>290</v>
      </c>
      <c r="B22" s="8" t="s">
        <v>291</v>
      </c>
      <c r="C22" s="8" t="s">
        <v>292</v>
      </c>
      <c r="D22" s="8" t="s">
        <v>293</v>
      </c>
      <c r="E22" s="8" t="s">
        <v>284</v>
      </c>
      <c r="F22" s="8" t="s">
        <v>205</v>
      </c>
      <c r="G22" s="8" t="s">
        <v>94</v>
      </c>
      <c r="H22" s="8" t="s">
        <v>217</v>
      </c>
      <c r="I22" s="8" t="n">
        <v>3</v>
      </c>
      <c r="J22" s="8" t="n">
        <v>6</v>
      </c>
      <c r="K22" s="8" t="n">
        <v>38</v>
      </c>
      <c r="L22" s="8" t="s">
        <v>233</v>
      </c>
      <c r="M22" s="8"/>
      <c r="N22" s="8"/>
    </row>
    <row r="23" customFormat="false" ht="15" hidden="false" customHeight="false" outlineLevel="0" collapsed="false">
      <c r="A23" s="8" t="s">
        <v>294</v>
      </c>
      <c r="B23" s="8" t="s">
        <v>295</v>
      </c>
      <c r="C23" s="8" t="s">
        <v>296</v>
      </c>
      <c r="D23" s="8" t="s">
        <v>297</v>
      </c>
      <c r="E23" s="8" t="s">
        <v>284</v>
      </c>
      <c r="F23" s="8" t="s">
        <v>205</v>
      </c>
      <c r="G23" s="8" t="s">
        <v>94</v>
      </c>
      <c r="H23" s="8" t="s">
        <v>222</v>
      </c>
      <c r="I23" s="8" t="n">
        <v>3</v>
      </c>
      <c r="J23" s="8" t="n">
        <v>6</v>
      </c>
      <c r="K23" s="8" t="n">
        <v>34</v>
      </c>
      <c r="L23" s="8" t="s">
        <v>233</v>
      </c>
      <c r="M23" s="8"/>
      <c r="N23" s="8"/>
    </row>
    <row r="24" customFormat="false" ht="23.85" hidden="false" customHeight="false" outlineLevel="0" collapsed="false">
      <c r="A24" s="8" t="s">
        <v>298</v>
      </c>
      <c r="B24" s="8" t="s">
        <v>299</v>
      </c>
      <c r="C24" s="8" t="s">
        <v>300</v>
      </c>
      <c r="D24" s="8" t="s">
        <v>301</v>
      </c>
      <c r="E24" s="8" t="s">
        <v>284</v>
      </c>
      <c r="F24" s="8" t="s">
        <v>302</v>
      </c>
      <c r="G24" s="8" t="s">
        <v>67</v>
      </c>
      <c r="H24" s="8" t="s">
        <v>303</v>
      </c>
      <c r="I24" s="8" t="n">
        <v>2</v>
      </c>
      <c r="J24" s="8" t="n">
        <v>4</v>
      </c>
      <c r="K24" s="8" t="n">
        <v>24</v>
      </c>
      <c r="L24" s="8" t="s">
        <v>246</v>
      </c>
      <c r="M24" s="8"/>
      <c r="N24" s="8" t="s">
        <v>304</v>
      </c>
    </row>
    <row r="25" customFormat="false" ht="15" hidden="false" customHeight="false" outlineLevel="0" collapsed="false">
      <c r="A25" s="8" t="s">
        <v>305</v>
      </c>
      <c r="B25" s="8" t="s">
        <v>306</v>
      </c>
      <c r="C25" s="8" t="s">
        <v>307</v>
      </c>
      <c r="D25" s="8" t="s">
        <v>308</v>
      </c>
      <c r="E25" s="8" t="s">
        <v>309</v>
      </c>
      <c r="F25" s="8" t="s">
        <v>205</v>
      </c>
      <c r="G25" s="8" t="s">
        <v>94</v>
      </c>
      <c r="H25" s="8" t="s">
        <v>206</v>
      </c>
      <c r="I25" s="8" t="n">
        <v>4</v>
      </c>
      <c r="J25" s="8" t="n">
        <v>8</v>
      </c>
      <c r="K25" s="8" t="n">
        <v>48</v>
      </c>
      <c r="L25" s="8" t="s">
        <v>207</v>
      </c>
      <c r="M25" s="8"/>
      <c r="N25" s="8" t="s">
        <v>310</v>
      </c>
    </row>
    <row r="26" customFormat="false" ht="15" hidden="false" customHeight="false" outlineLevel="0" collapsed="false">
      <c r="A26" s="8" t="s">
        <v>311</v>
      </c>
      <c r="B26" s="8" t="s">
        <v>312</v>
      </c>
      <c r="C26" s="8" t="s">
        <v>313</v>
      </c>
      <c r="D26" s="8" t="s">
        <v>314</v>
      </c>
      <c r="E26" s="8" t="s">
        <v>309</v>
      </c>
      <c r="F26" s="8" t="s">
        <v>205</v>
      </c>
      <c r="G26" s="8" t="s">
        <v>94</v>
      </c>
      <c r="H26" s="8" t="s">
        <v>206</v>
      </c>
      <c r="I26" s="8" t="n">
        <v>3</v>
      </c>
      <c r="J26" s="8" t="n">
        <v>8</v>
      </c>
      <c r="K26" s="8" t="n">
        <v>48</v>
      </c>
      <c r="L26" s="8" t="s">
        <v>207</v>
      </c>
      <c r="M26" s="8"/>
      <c r="N26" s="8" t="s">
        <v>98</v>
      </c>
    </row>
    <row r="27" customFormat="false" ht="15" hidden="false" customHeight="false" outlineLevel="0" collapsed="false">
      <c r="A27" s="8" t="s">
        <v>315</v>
      </c>
      <c r="B27" s="8" t="s">
        <v>316</v>
      </c>
      <c r="C27" s="8" t="s">
        <v>317</v>
      </c>
      <c r="D27" s="8" t="s">
        <v>318</v>
      </c>
      <c r="E27" s="8" t="s">
        <v>319</v>
      </c>
      <c r="F27" s="8" t="s">
        <v>205</v>
      </c>
      <c r="G27" s="8" t="s">
        <v>94</v>
      </c>
      <c r="H27" s="8" t="s">
        <v>206</v>
      </c>
      <c r="I27" s="8" t="n">
        <v>6</v>
      </c>
      <c r="J27" s="8" t="n">
        <v>12</v>
      </c>
      <c r="K27" s="8" t="n">
        <v>62</v>
      </c>
      <c r="L27" s="8" t="s">
        <v>207</v>
      </c>
      <c r="M27" s="8"/>
      <c r="N27" s="8" t="s">
        <v>122</v>
      </c>
    </row>
    <row r="28" customFormat="false" ht="15" hidden="false" customHeight="false" outlineLevel="0" collapsed="false">
      <c r="A28" s="8" t="s">
        <v>320</v>
      </c>
      <c r="B28" s="8" t="s">
        <v>321</v>
      </c>
      <c r="C28" s="8" t="s">
        <v>322</v>
      </c>
      <c r="D28" s="8" t="s">
        <v>323</v>
      </c>
      <c r="E28" s="8" t="s">
        <v>324</v>
      </c>
      <c r="F28" s="8" t="s">
        <v>205</v>
      </c>
      <c r="G28" s="8" t="s">
        <v>67</v>
      </c>
      <c r="H28" s="8" t="s">
        <v>232</v>
      </c>
      <c r="I28" s="8" t="n">
        <v>8</v>
      </c>
      <c r="J28" s="8" t="n">
        <v>15</v>
      </c>
      <c r="K28" s="8" t="n">
        <v>84</v>
      </c>
      <c r="L28" s="8" t="s">
        <v>246</v>
      </c>
      <c r="M28" s="8"/>
      <c r="N28" s="8"/>
    </row>
    <row r="29" customFormat="false" ht="23.85" hidden="false" customHeight="false" outlineLevel="0" collapsed="false">
      <c r="A29" s="8" t="s">
        <v>325</v>
      </c>
      <c r="B29" s="8" t="s">
        <v>326</v>
      </c>
      <c r="C29" s="8" t="s">
        <v>327</v>
      </c>
      <c r="D29" s="8" t="s">
        <v>328</v>
      </c>
      <c r="E29" s="8" t="s">
        <v>329</v>
      </c>
      <c r="F29" s="8" t="s">
        <v>205</v>
      </c>
      <c r="G29" s="8" t="s">
        <v>94</v>
      </c>
      <c r="H29" s="8" t="s">
        <v>245</v>
      </c>
      <c r="I29" s="8" t="n">
        <v>7</v>
      </c>
      <c r="J29" s="8" t="n">
        <v>18</v>
      </c>
      <c r="K29" s="8" t="n">
        <v>112</v>
      </c>
      <c r="L29" s="8" t="s">
        <v>233</v>
      </c>
      <c r="M29" s="8"/>
      <c r="N29" s="8" t="s">
        <v>330</v>
      </c>
    </row>
    <row r="30" customFormat="false" ht="15" hidden="false" customHeight="false" outlineLevel="0" collapsed="false">
      <c r="A30" s="8" t="s">
        <v>331</v>
      </c>
      <c r="B30" s="8" t="s">
        <v>332</v>
      </c>
      <c r="C30" s="8" t="s">
        <v>333</v>
      </c>
      <c r="D30" s="8" t="s">
        <v>334</v>
      </c>
      <c r="E30" s="8" t="s">
        <v>335</v>
      </c>
      <c r="F30" s="8" t="s">
        <v>205</v>
      </c>
      <c r="G30" s="8" t="s">
        <v>94</v>
      </c>
      <c r="H30" s="8" t="s">
        <v>303</v>
      </c>
      <c r="I30" s="8" t="n">
        <v>5</v>
      </c>
      <c r="J30" s="8" t="n">
        <v>10</v>
      </c>
      <c r="K30" s="8" t="n">
        <v>58</v>
      </c>
      <c r="L30" s="8" t="s">
        <v>246</v>
      </c>
      <c r="M30" s="8"/>
      <c r="N30" s="8"/>
    </row>
    <row r="33" customFormat="false" ht="15" hidden="false" customHeight="false" outlineLevel="0" collapsed="false">
      <c r="A33" s="10" t="s">
        <v>177</v>
      </c>
    </row>
    <row r="34" customFormat="false" ht="15" hidden="false" customHeight="false" outlineLevel="0" collapsed="false">
      <c r="A34" s="4" t="s">
        <v>336</v>
      </c>
      <c r="B34" s="11" t="n">
        <f aca="false">COUNTA(A5:A200)-COUNTIF(A5:A200,"")</f>
        <v>-132</v>
      </c>
    </row>
    <row r="35" customFormat="false" ht="15" hidden="false" customHeight="false" outlineLevel="0" collapsed="false">
      <c r="A35" s="4" t="s">
        <v>337</v>
      </c>
      <c r="B35" s="11" t="n">
        <f aca="false">COUNTIF(G5:G200,"Y")</f>
        <v>18</v>
      </c>
    </row>
    <row r="36" customFormat="false" ht="15" hidden="false" customHeight="false" outlineLevel="0" collapsed="false">
      <c r="A36" s="4" t="s">
        <v>338</v>
      </c>
      <c r="B36" s="11" t="n">
        <f aca="false">COUNTIF(L5:L200,"In Design")+COUNTIF(L5:L200,"Design")</f>
        <v>17</v>
      </c>
    </row>
    <row r="37" customFormat="false" ht="15" hidden="false" customHeight="false" outlineLevel="0" collapsed="false">
      <c r="A37" s="4" t="s">
        <v>339</v>
      </c>
      <c r="B37" s="11" t="n">
        <f aca="false">SUM(K5:K200)</f>
        <v>1697</v>
      </c>
    </row>
    <row r="38" customFormat="false" ht="15" hidden="false" customHeight="false" outlineLevel="0" collapsed="false">
      <c r="A38" s="4" t="s">
        <v>340</v>
      </c>
      <c r="B38" s="11" t="n">
        <f aca="false">SUMIF(G5:G200,"Y",K5:K200)</f>
        <v>1232</v>
      </c>
    </row>
  </sheetData>
  <mergeCells count="3">
    <mergeCell ref="A1:N1"/>
    <mergeCell ref="A2:N2"/>
    <mergeCell ref="A3:N3"/>
  </mergeCells>
  <dataValidations count="3">
    <dataValidation allowBlank="true" errorStyle="stop" operator="between" showDropDown="false" showErrorMessage="false" showInputMessage="false" sqref="F5:F200" type="list">
      <formula1>"Must,Should,Could,Won't"</formula1>
      <formula2>0</formula2>
    </dataValidation>
    <dataValidation allowBlank="true" errorStyle="stop" operator="between" showDropDown="false" showErrorMessage="false" showInputMessage="false" sqref="G5:G200" type="list">
      <formula1>"Y,N,Partial"</formula1>
      <formula2>0</formula2>
    </dataValidation>
    <dataValidation allowBlank="true" errorStyle="stop" operator="between" showDropDown="false" showErrorMessage="false" showInputMessage="false" sqref="L5:L200" type="list">
      <formula1>"Backlog,Design,In Design,In Development,In Test,In UAT,Done,Deferred"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24" hidden="false" customHeight="true" outlineLevel="0" collapsed="false">
      <c r="A1" s="5" t="s">
        <v>341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342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 t="s">
        <v>343</v>
      </c>
      <c r="B3" s="6"/>
      <c r="C3" s="6"/>
      <c r="D3" s="6"/>
      <c r="E3" s="6"/>
      <c r="F3" s="6"/>
      <c r="G3" s="6"/>
      <c r="H3" s="6"/>
      <c r="I3" s="6"/>
    </row>
    <row r="4" customFormat="false" ht="31.5" hidden="false" customHeight="true" outlineLevel="0" collapsed="false">
      <c r="A4" s="7" t="s">
        <v>344</v>
      </c>
      <c r="B4" s="7" t="s">
        <v>188</v>
      </c>
      <c r="C4" s="7" t="s">
        <v>345</v>
      </c>
      <c r="D4" s="7" t="s">
        <v>346</v>
      </c>
      <c r="E4" s="7" t="s">
        <v>347</v>
      </c>
      <c r="F4" s="7" t="s">
        <v>49</v>
      </c>
      <c r="G4" s="7" t="s">
        <v>191</v>
      </c>
      <c r="H4" s="7" t="s">
        <v>348</v>
      </c>
      <c r="I4" s="7" t="s">
        <v>349</v>
      </c>
    </row>
    <row r="5" customFormat="false" ht="15" hidden="false" customHeight="false" outlineLevel="0" collapsed="false">
      <c r="A5" s="8" t="s">
        <v>350</v>
      </c>
      <c r="B5" s="8" t="s">
        <v>351</v>
      </c>
      <c r="C5" s="8" t="s">
        <v>352</v>
      </c>
      <c r="D5" s="8" t="s">
        <v>353</v>
      </c>
      <c r="E5" s="8" t="s">
        <v>354</v>
      </c>
      <c r="F5" s="8" t="s">
        <v>355</v>
      </c>
      <c r="G5" s="8" t="s">
        <v>356</v>
      </c>
      <c r="H5" s="9" t="s">
        <v>357</v>
      </c>
      <c r="I5" s="8" t="s">
        <v>358</v>
      </c>
    </row>
    <row r="6" customFormat="false" ht="15" hidden="false" customHeight="false" outlineLevel="0" collapsed="false">
      <c r="A6" s="8" t="s">
        <v>359</v>
      </c>
      <c r="B6" s="8" t="s">
        <v>360</v>
      </c>
      <c r="C6" s="8" t="s">
        <v>361</v>
      </c>
      <c r="D6" s="8" t="s">
        <v>353</v>
      </c>
      <c r="E6" s="8" t="s">
        <v>362</v>
      </c>
      <c r="F6" s="8" t="s">
        <v>363</v>
      </c>
      <c r="G6" s="8" t="s">
        <v>356</v>
      </c>
      <c r="H6" s="9" t="s">
        <v>364</v>
      </c>
      <c r="I6" s="8" t="s">
        <v>365</v>
      </c>
    </row>
    <row r="7" customFormat="false" ht="23.85" hidden="false" customHeight="false" outlineLevel="0" collapsed="false">
      <c r="A7" s="8" t="s">
        <v>366</v>
      </c>
      <c r="B7" s="8" t="s">
        <v>367</v>
      </c>
      <c r="C7" s="8" t="s">
        <v>368</v>
      </c>
      <c r="D7" s="8" t="s">
        <v>369</v>
      </c>
      <c r="E7" s="8" t="s">
        <v>370</v>
      </c>
      <c r="F7" s="8" t="s">
        <v>363</v>
      </c>
      <c r="G7" s="8" t="s">
        <v>371</v>
      </c>
      <c r="H7" s="9" t="s">
        <v>372</v>
      </c>
      <c r="I7" s="8" t="s">
        <v>373</v>
      </c>
    </row>
    <row r="8" customFormat="false" ht="15" hidden="false" customHeight="false" outlineLevel="0" collapsed="false">
      <c r="A8" s="8" t="s">
        <v>374</v>
      </c>
      <c r="B8" s="8" t="s">
        <v>375</v>
      </c>
      <c r="C8" s="8" t="s">
        <v>368</v>
      </c>
      <c r="D8" s="8" t="s">
        <v>376</v>
      </c>
      <c r="E8" s="8" t="s">
        <v>377</v>
      </c>
      <c r="F8" s="8" t="s">
        <v>378</v>
      </c>
      <c r="G8" s="8" t="s">
        <v>379</v>
      </c>
      <c r="H8" s="9" t="s">
        <v>380</v>
      </c>
      <c r="I8" s="8" t="s">
        <v>381</v>
      </c>
    </row>
    <row r="9" customFormat="false" ht="23.85" hidden="false" customHeight="false" outlineLevel="0" collapsed="false">
      <c r="A9" s="8" t="s">
        <v>382</v>
      </c>
      <c r="B9" s="8" t="s">
        <v>383</v>
      </c>
      <c r="C9" s="8" t="s">
        <v>368</v>
      </c>
      <c r="D9" s="8" t="s">
        <v>384</v>
      </c>
      <c r="E9" s="8" t="s">
        <v>385</v>
      </c>
      <c r="F9" s="8" t="s">
        <v>378</v>
      </c>
      <c r="G9" s="8" t="s">
        <v>356</v>
      </c>
      <c r="H9" s="9" t="s">
        <v>386</v>
      </c>
      <c r="I9" s="8" t="s">
        <v>387</v>
      </c>
    </row>
    <row r="10" customFormat="false" ht="15" hidden="false" customHeight="false" outlineLevel="0" collapsed="false">
      <c r="A10" s="8" t="s">
        <v>388</v>
      </c>
      <c r="B10" s="8" t="s">
        <v>389</v>
      </c>
      <c r="C10" s="8" t="s">
        <v>368</v>
      </c>
      <c r="D10" s="8" t="s">
        <v>390</v>
      </c>
      <c r="E10" s="8" t="s">
        <v>391</v>
      </c>
      <c r="F10" s="8" t="s">
        <v>378</v>
      </c>
      <c r="G10" s="8" t="s">
        <v>392</v>
      </c>
      <c r="H10" s="9" t="s">
        <v>160</v>
      </c>
      <c r="I10" s="8" t="s">
        <v>393</v>
      </c>
    </row>
    <row r="11" customFormat="false" ht="15" hidden="false" customHeight="false" outlineLevel="0" collapsed="false">
      <c r="A11" s="8" t="s">
        <v>394</v>
      </c>
      <c r="B11" s="8" t="s">
        <v>395</v>
      </c>
      <c r="C11" s="8" t="s">
        <v>368</v>
      </c>
      <c r="D11" s="8" t="s">
        <v>396</v>
      </c>
      <c r="E11" s="8" t="s">
        <v>377</v>
      </c>
      <c r="F11" s="8" t="s">
        <v>378</v>
      </c>
      <c r="G11" s="8" t="s">
        <v>371</v>
      </c>
      <c r="H11" s="9" t="s">
        <v>397</v>
      </c>
      <c r="I11" s="8" t="s">
        <v>398</v>
      </c>
    </row>
    <row r="12" customFormat="false" ht="15" hidden="false" customHeight="false" outlineLevel="0" collapsed="false">
      <c r="A12" s="8" t="s">
        <v>399</v>
      </c>
      <c r="B12" s="8" t="s">
        <v>400</v>
      </c>
      <c r="C12" s="8" t="s">
        <v>368</v>
      </c>
      <c r="D12" s="8" t="s">
        <v>401</v>
      </c>
      <c r="E12" s="8" t="s">
        <v>385</v>
      </c>
      <c r="F12" s="8" t="s">
        <v>378</v>
      </c>
      <c r="G12" s="8" t="s">
        <v>402</v>
      </c>
      <c r="H12" s="9" t="s">
        <v>403</v>
      </c>
      <c r="I12" s="8" t="s">
        <v>404</v>
      </c>
    </row>
    <row r="13" customFormat="false" ht="23.85" hidden="false" customHeight="false" outlineLevel="0" collapsed="false">
      <c r="A13" s="8" t="s">
        <v>405</v>
      </c>
      <c r="B13" s="8" t="s">
        <v>406</v>
      </c>
      <c r="C13" s="8" t="s">
        <v>86</v>
      </c>
      <c r="D13" s="8" t="s">
        <v>407</v>
      </c>
      <c r="E13" s="8" t="s">
        <v>408</v>
      </c>
      <c r="F13" s="8" t="s">
        <v>363</v>
      </c>
      <c r="G13" s="8" t="s">
        <v>409</v>
      </c>
      <c r="H13" s="9" t="s">
        <v>410</v>
      </c>
      <c r="I13" s="8" t="s">
        <v>411</v>
      </c>
    </row>
    <row r="14" customFormat="false" ht="23.85" hidden="false" customHeight="false" outlineLevel="0" collapsed="false">
      <c r="A14" s="8" t="s">
        <v>412</v>
      </c>
      <c r="B14" s="8" t="s">
        <v>413</v>
      </c>
      <c r="C14" s="8" t="s">
        <v>86</v>
      </c>
      <c r="D14" s="8" t="s">
        <v>414</v>
      </c>
      <c r="E14" s="8" t="s">
        <v>415</v>
      </c>
      <c r="F14" s="8" t="s">
        <v>378</v>
      </c>
      <c r="G14" s="8" t="s">
        <v>409</v>
      </c>
      <c r="H14" s="9" t="s">
        <v>410</v>
      </c>
      <c r="I14" s="8" t="s">
        <v>416</v>
      </c>
    </row>
    <row r="15" customFormat="false" ht="15" hidden="false" customHeight="false" outlineLevel="0" collapsed="false">
      <c r="A15" s="8" t="s">
        <v>417</v>
      </c>
      <c r="B15" s="8" t="s">
        <v>418</v>
      </c>
      <c r="C15" s="8" t="s">
        <v>419</v>
      </c>
      <c r="D15" s="8" t="s">
        <v>420</v>
      </c>
      <c r="E15" s="8" t="s">
        <v>362</v>
      </c>
      <c r="F15" s="8" t="s">
        <v>363</v>
      </c>
      <c r="G15" s="8" t="s">
        <v>379</v>
      </c>
      <c r="H15" s="9" t="s">
        <v>421</v>
      </c>
      <c r="I15" s="8" t="s">
        <v>422</v>
      </c>
    </row>
    <row r="16" customFormat="false" ht="15" hidden="false" customHeight="false" outlineLevel="0" collapsed="false">
      <c r="A16" s="8" t="s">
        <v>423</v>
      </c>
      <c r="B16" s="8" t="s">
        <v>424</v>
      </c>
      <c r="C16" s="8" t="s">
        <v>419</v>
      </c>
      <c r="D16" s="8" t="s">
        <v>425</v>
      </c>
      <c r="E16" s="8" t="s">
        <v>377</v>
      </c>
      <c r="F16" s="8" t="s">
        <v>378</v>
      </c>
      <c r="G16" s="8" t="s">
        <v>356</v>
      </c>
      <c r="H16" s="9" t="s">
        <v>386</v>
      </c>
      <c r="I16" s="8" t="s">
        <v>426</v>
      </c>
    </row>
    <row r="17" customFormat="false" ht="23.85" hidden="false" customHeight="false" outlineLevel="0" collapsed="false">
      <c r="A17" s="8" t="s">
        <v>427</v>
      </c>
      <c r="B17" s="8" t="s">
        <v>428</v>
      </c>
      <c r="C17" s="8" t="s">
        <v>429</v>
      </c>
      <c r="D17" s="8" t="s">
        <v>430</v>
      </c>
      <c r="E17" s="8" t="s">
        <v>431</v>
      </c>
      <c r="F17" s="8" t="s">
        <v>363</v>
      </c>
      <c r="G17" s="8" t="s">
        <v>356</v>
      </c>
      <c r="H17" s="9" t="s">
        <v>432</v>
      </c>
      <c r="I17" s="8" t="s">
        <v>433</v>
      </c>
    </row>
    <row r="18" customFormat="false" ht="23.85" hidden="false" customHeight="false" outlineLevel="0" collapsed="false">
      <c r="A18" s="8" t="s">
        <v>434</v>
      </c>
      <c r="B18" s="8" t="s">
        <v>435</v>
      </c>
      <c r="C18" s="8" t="s">
        <v>429</v>
      </c>
      <c r="D18" s="8" t="s">
        <v>436</v>
      </c>
      <c r="E18" s="8" t="s">
        <v>431</v>
      </c>
      <c r="F18" s="8" t="s">
        <v>363</v>
      </c>
      <c r="G18" s="8" t="s">
        <v>356</v>
      </c>
      <c r="H18" s="9" t="s">
        <v>432</v>
      </c>
      <c r="I18" s="8" t="s">
        <v>437</v>
      </c>
    </row>
    <row r="19" customFormat="false" ht="15" hidden="false" customHeight="false" outlineLevel="0" collapsed="false">
      <c r="A19" s="8" t="s">
        <v>438</v>
      </c>
      <c r="B19" s="8" t="s">
        <v>439</v>
      </c>
      <c r="C19" s="8" t="s">
        <v>105</v>
      </c>
      <c r="D19" s="8" t="s">
        <v>440</v>
      </c>
      <c r="E19" s="8" t="s">
        <v>377</v>
      </c>
      <c r="F19" s="8" t="s">
        <v>378</v>
      </c>
      <c r="G19" s="8" t="s">
        <v>441</v>
      </c>
      <c r="H19" s="9" t="s">
        <v>397</v>
      </c>
      <c r="I19" s="8" t="s">
        <v>442</v>
      </c>
    </row>
    <row r="20" customFormat="false" ht="15" hidden="false" customHeight="false" outlineLevel="0" collapsed="false">
      <c r="A20" s="8" t="s">
        <v>443</v>
      </c>
      <c r="B20" s="8" t="s">
        <v>444</v>
      </c>
      <c r="C20" s="8" t="s">
        <v>445</v>
      </c>
      <c r="D20" s="8" t="s">
        <v>446</v>
      </c>
      <c r="E20" s="8" t="s">
        <v>377</v>
      </c>
      <c r="F20" s="8" t="s">
        <v>378</v>
      </c>
      <c r="G20" s="8" t="s">
        <v>402</v>
      </c>
      <c r="H20" s="9" t="s">
        <v>380</v>
      </c>
      <c r="I20" s="8" t="s">
        <v>447</v>
      </c>
    </row>
  </sheetData>
  <mergeCells count="3">
    <mergeCell ref="A1:I1"/>
    <mergeCell ref="A2:I2"/>
    <mergeCell ref="A3:I3"/>
  </mergeCells>
  <conditionalFormatting sqref="F5:F100">
    <cfRule type="expression" priority="2" aboveAverage="0" equalAverage="0" bottom="0" percent="0" rank="0" text="" dxfId="0">
      <formula>$F5="Published"</formula>
    </cfRule>
    <cfRule type="expression" priority="3" aboveAverage="0" equalAverage="0" bottom="0" percent="0" rank="0" text="" dxfId="1">
      <formula>$F5="In Review"</formula>
    </cfRule>
    <cfRule type="expression" priority="4" aboveAverage="0" equalAverage="0" bottom="0" percent="0" rank="0" text="" dxfId="2">
      <formula>$F5="Draft"</formula>
    </cfRule>
  </conditionalFormatting>
  <dataValidations count="2">
    <dataValidation allowBlank="true" errorStyle="stop" operator="between" showDropDown="false" showErrorMessage="false" showInputMessage="false" sqref="C5:C100" type="list">
      <formula1>"Context,Container,Component,Code,Deployment,Flow,State,Data,Network,Sequence"</formula1>
      <formula2>0</formula2>
    </dataValidation>
    <dataValidation allowBlank="true" errorStyle="stop" operator="between" showDropDown="false" showErrorMessage="false" showInputMessage="false" sqref="F5:F100" type="list">
      <formula1>"Draft,In Review,Published,Deprecated"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42"/>
    <col collapsed="false" customWidth="true" hidden="false" outlineLevel="0" max="10" min="10" style="0" width="24"/>
  </cols>
  <sheetData>
    <row r="1" customFormat="false" ht="24" hidden="false" customHeight="true" outlineLevel="0" collapsed="false">
      <c r="A1" s="5" t="s">
        <v>448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449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6" t="s">
        <v>450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1.5" hidden="false" customHeight="true" outlineLevel="0" collapsed="false">
      <c r="A4" s="7" t="s">
        <v>451</v>
      </c>
      <c r="B4" s="7" t="s">
        <v>452</v>
      </c>
      <c r="C4" s="7" t="s">
        <v>453</v>
      </c>
      <c r="D4" s="7" t="s">
        <v>454</v>
      </c>
      <c r="E4" s="7" t="s">
        <v>455</v>
      </c>
      <c r="F4" s="7" t="s">
        <v>456</v>
      </c>
      <c r="G4" s="7" t="s">
        <v>191</v>
      </c>
      <c r="H4" s="7" t="s">
        <v>457</v>
      </c>
      <c r="I4" s="7" t="s">
        <v>458</v>
      </c>
      <c r="J4" s="7" t="s">
        <v>459</v>
      </c>
    </row>
    <row r="5" customFormat="false" ht="23.85" hidden="false" customHeight="false" outlineLevel="0" collapsed="false">
      <c r="A5" s="8" t="s">
        <v>460</v>
      </c>
      <c r="B5" s="8" t="s">
        <v>461</v>
      </c>
      <c r="C5" s="8" t="n">
        <v>3</v>
      </c>
      <c r="D5" s="8" t="n">
        <v>3</v>
      </c>
      <c r="E5" s="9" t="s">
        <v>462</v>
      </c>
      <c r="F5" s="9" t="s">
        <v>463</v>
      </c>
      <c r="G5" s="8" t="s">
        <v>464</v>
      </c>
      <c r="H5" s="8" t="s">
        <v>465</v>
      </c>
      <c r="I5" s="8" t="s">
        <v>466</v>
      </c>
      <c r="J5" s="8" t="s">
        <v>467</v>
      </c>
    </row>
    <row r="6" customFormat="false" ht="23.85" hidden="false" customHeight="false" outlineLevel="0" collapsed="false">
      <c r="A6" s="8" t="s">
        <v>468</v>
      </c>
      <c r="B6" s="8" t="s">
        <v>469</v>
      </c>
      <c r="C6" s="8" t="n">
        <v>2</v>
      </c>
      <c r="D6" s="8" t="n">
        <v>2</v>
      </c>
      <c r="E6" s="9" t="s">
        <v>470</v>
      </c>
      <c r="F6" s="9" t="s">
        <v>87</v>
      </c>
      <c r="G6" s="8" t="s">
        <v>471</v>
      </c>
      <c r="H6" s="8" t="s">
        <v>465</v>
      </c>
      <c r="I6" s="8" t="s">
        <v>472</v>
      </c>
      <c r="J6" s="8" t="s">
        <v>473</v>
      </c>
    </row>
    <row r="7" customFormat="false" ht="23.85" hidden="false" customHeight="false" outlineLevel="0" collapsed="false">
      <c r="A7" s="8" t="s">
        <v>474</v>
      </c>
      <c r="B7" s="8" t="s">
        <v>475</v>
      </c>
      <c r="C7" s="8" t="n">
        <v>4</v>
      </c>
      <c r="D7" s="8" t="n">
        <v>5</v>
      </c>
      <c r="E7" s="9" t="s">
        <v>476</v>
      </c>
      <c r="F7" s="9" t="s">
        <v>477</v>
      </c>
      <c r="G7" s="8" t="s">
        <v>371</v>
      </c>
      <c r="H7" s="8" t="s">
        <v>478</v>
      </c>
      <c r="I7" s="8" t="s">
        <v>479</v>
      </c>
      <c r="J7" s="8" t="s">
        <v>480</v>
      </c>
    </row>
    <row r="8" customFormat="false" ht="23.85" hidden="false" customHeight="false" outlineLevel="0" collapsed="false">
      <c r="A8" s="8" t="s">
        <v>481</v>
      </c>
      <c r="B8" s="8" t="s">
        <v>482</v>
      </c>
      <c r="C8" s="8" t="n">
        <v>3</v>
      </c>
      <c r="D8" s="8" t="n">
        <v>3</v>
      </c>
      <c r="E8" s="9" t="s">
        <v>483</v>
      </c>
      <c r="F8" s="9" t="s">
        <v>484</v>
      </c>
      <c r="G8" s="8" t="s">
        <v>379</v>
      </c>
      <c r="H8" s="8" t="s">
        <v>478</v>
      </c>
      <c r="I8" s="8" t="s">
        <v>485</v>
      </c>
      <c r="J8" s="8" t="s">
        <v>103</v>
      </c>
    </row>
    <row r="9" customFormat="false" ht="23.85" hidden="false" customHeight="false" outlineLevel="0" collapsed="false">
      <c r="A9" s="8" t="s">
        <v>486</v>
      </c>
      <c r="B9" s="8" t="s">
        <v>487</v>
      </c>
      <c r="C9" s="8" t="n">
        <v>2</v>
      </c>
      <c r="D9" s="8" t="n">
        <v>3</v>
      </c>
      <c r="E9" s="9" t="s">
        <v>488</v>
      </c>
      <c r="F9" s="9" t="s">
        <v>489</v>
      </c>
      <c r="G9" s="8" t="s">
        <v>490</v>
      </c>
      <c r="H9" s="8" t="s">
        <v>491</v>
      </c>
      <c r="I9" s="8" t="s">
        <v>492</v>
      </c>
      <c r="J9" s="8" t="s">
        <v>493</v>
      </c>
    </row>
    <row r="10" customFormat="false" ht="35.05" hidden="false" customHeight="false" outlineLevel="0" collapsed="false">
      <c r="A10" s="8" t="s">
        <v>494</v>
      </c>
      <c r="B10" s="8" t="s">
        <v>495</v>
      </c>
      <c r="C10" s="8" t="n">
        <v>3</v>
      </c>
      <c r="D10" s="8" t="n">
        <v>4</v>
      </c>
      <c r="E10" s="9" t="s">
        <v>496</v>
      </c>
      <c r="F10" s="9" t="s">
        <v>497</v>
      </c>
      <c r="G10" s="8" t="s">
        <v>379</v>
      </c>
      <c r="H10" s="8" t="s">
        <v>478</v>
      </c>
      <c r="I10" s="8" t="s">
        <v>498</v>
      </c>
      <c r="J10" s="8" t="s">
        <v>499</v>
      </c>
    </row>
    <row r="11" customFormat="false" ht="23.85" hidden="false" customHeight="false" outlineLevel="0" collapsed="false">
      <c r="A11" s="8" t="s">
        <v>500</v>
      </c>
      <c r="B11" s="8" t="s">
        <v>501</v>
      </c>
      <c r="C11" s="8" t="n">
        <v>2</v>
      </c>
      <c r="D11" s="8" t="n">
        <v>2</v>
      </c>
      <c r="E11" s="9" t="s">
        <v>502</v>
      </c>
      <c r="F11" s="9" t="s">
        <v>421</v>
      </c>
      <c r="G11" s="8" t="s">
        <v>402</v>
      </c>
      <c r="H11" s="8" t="s">
        <v>465</v>
      </c>
      <c r="I11" s="8" t="s">
        <v>503</v>
      </c>
      <c r="J11" s="8" t="s">
        <v>109</v>
      </c>
    </row>
    <row r="12" customFormat="false" ht="23.85" hidden="false" customHeight="false" outlineLevel="0" collapsed="false">
      <c r="A12" s="8" t="s">
        <v>504</v>
      </c>
      <c r="B12" s="8" t="s">
        <v>505</v>
      </c>
      <c r="C12" s="8" t="n">
        <v>2</v>
      </c>
      <c r="D12" s="8" t="n">
        <v>3</v>
      </c>
      <c r="E12" s="9" t="s">
        <v>506</v>
      </c>
      <c r="F12" s="9" t="s">
        <v>143</v>
      </c>
      <c r="G12" s="8" t="s">
        <v>371</v>
      </c>
      <c r="H12" s="8" t="s">
        <v>491</v>
      </c>
      <c r="I12" s="8" t="s">
        <v>507</v>
      </c>
      <c r="J12" s="8" t="s">
        <v>508</v>
      </c>
    </row>
    <row r="13" customFormat="false" ht="23.85" hidden="false" customHeight="false" outlineLevel="0" collapsed="false">
      <c r="A13" s="8" t="s">
        <v>509</v>
      </c>
      <c r="B13" s="8" t="s">
        <v>510</v>
      </c>
      <c r="C13" s="8" t="n">
        <v>5</v>
      </c>
      <c r="D13" s="8" t="n">
        <v>0</v>
      </c>
      <c r="E13" s="9"/>
      <c r="F13" s="9"/>
      <c r="G13" s="8" t="s">
        <v>356</v>
      </c>
      <c r="H13" s="8" t="s">
        <v>511</v>
      </c>
      <c r="I13" s="8"/>
      <c r="J13" s="8" t="s">
        <v>146</v>
      </c>
    </row>
    <row r="14" customFormat="false" ht="23.85" hidden="false" customHeight="false" outlineLevel="0" collapsed="false">
      <c r="A14" s="8" t="s">
        <v>512</v>
      </c>
      <c r="B14" s="8" t="s">
        <v>513</v>
      </c>
      <c r="C14" s="8" t="n">
        <v>3</v>
      </c>
      <c r="D14" s="8" t="n">
        <v>0</v>
      </c>
      <c r="E14" s="9"/>
      <c r="F14" s="9"/>
      <c r="G14" s="8" t="s">
        <v>464</v>
      </c>
      <c r="H14" s="8" t="s">
        <v>511</v>
      </c>
      <c r="I14" s="8"/>
      <c r="J14" s="8" t="s">
        <v>514</v>
      </c>
    </row>
    <row r="15" customFormat="false" ht="23.85" hidden="false" customHeight="false" outlineLevel="0" collapsed="false">
      <c r="A15" s="8" t="s">
        <v>515</v>
      </c>
      <c r="B15" s="8" t="s">
        <v>516</v>
      </c>
      <c r="C15" s="8" t="n">
        <v>3</v>
      </c>
      <c r="D15" s="8" t="n">
        <v>0</v>
      </c>
      <c r="E15" s="9"/>
      <c r="F15" s="9"/>
      <c r="G15" s="8" t="s">
        <v>517</v>
      </c>
      <c r="H15" s="8" t="s">
        <v>511</v>
      </c>
      <c r="I15" s="8"/>
      <c r="J15" s="8" t="s">
        <v>152</v>
      </c>
    </row>
    <row r="16" customFormat="false" ht="23.85" hidden="false" customHeight="false" outlineLevel="0" collapsed="false">
      <c r="A16" s="8" t="s">
        <v>518</v>
      </c>
      <c r="B16" s="8" t="s">
        <v>519</v>
      </c>
      <c r="C16" s="8" t="n">
        <v>3</v>
      </c>
      <c r="D16" s="8" t="n">
        <v>0</v>
      </c>
      <c r="E16" s="9"/>
      <c r="F16" s="9"/>
      <c r="G16" s="8" t="s">
        <v>520</v>
      </c>
      <c r="H16" s="8" t="s">
        <v>511</v>
      </c>
      <c r="I16" s="8"/>
      <c r="J16" s="8" t="s">
        <v>173</v>
      </c>
    </row>
    <row r="17" customFormat="false" ht="23.85" hidden="false" customHeight="false" outlineLevel="0" collapsed="false">
      <c r="A17" s="8" t="s">
        <v>521</v>
      </c>
      <c r="B17" s="8" t="s">
        <v>522</v>
      </c>
      <c r="C17" s="8" t="n">
        <v>4</v>
      </c>
      <c r="D17" s="8" t="n">
        <v>0</v>
      </c>
      <c r="E17" s="9"/>
      <c r="F17" s="9"/>
      <c r="G17" s="8" t="s">
        <v>371</v>
      </c>
      <c r="H17" s="8" t="s">
        <v>511</v>
      </c>
      <c r="I17" s="8"/>
      <c r="J17" s="8" t="s">
        <v>523</v>
      </c>
    </row>
    <row r="18" customFormat="false" ht="23.85" hidden="false" customHeight="false" outlineLevel="0" collapsed="false">
      <c r="A18" s="8" t="s">
        <v>524</v>
      </c>
      <c r="B18" s="8" t="s">
        <v>525</v>
      </c>
      <c r="C18" s="8" t="n">
        <v>2</v>
      </c>
      <c r="D18" s="8" t="n">
        <v>0</v>
      </c>
      <c r="E18" s="9"/>
      <c r="F18" s="9"/>
      <c r="G18" s="8" t="s">
        <v>371</v>
      </c>
      <c r="H18" s="8" t="s">
        <v>511</v>
      </c>
      <c r="I18" s="8"/>
      <c r="J18" s="8" t="s">
        <v>526</v>
      </c>
    </row>
    <row r="19" customFormat="false" ht="23.85" hidden="false" customHeight="false" outlineLevel="0" collapsed="false">
      <c r="A19" s="8" t="s">
        <v>527</v>
      </c>
      <c r="B19" s="8" t="s">
        <v>528</v>
      </c>
      <c r="C19" s="8" t="n">
        <v>5</v>
      </c>
      <c r="D19" s="8" t="n">
        <v>0</v>
      </c>
      <c r="E19" s="9"/>
      <c r="F19" s="9"/>
      <c r="G19" s="8" t="s">
        <v>441</v>
      </c>
      <c r="H19" s="8" t="s">
        <v>511</v>
      </c>
      <c r="I19" s="8"/>
      <c r="J19" s="8" t="s">
        <v>529</v>
      </c>
    </row>
  </sheetData>
  <mergeCells count="3">
    <mergeCell ref="A1:J1"/>
    <mergeCell ref="A2:J2"/>
    <mergeCell ref="A3:J3"/>
  </mergeCells>
  <conditionalFormatting sqref="H5:H200">
    <cfRule type="expression" priority="2" aboveAverage="0" equalAverage="0" bottom="0" percent="0" rank="0" text="" dxfId="0">
      <formula>OR($H5="Confirmed",$H5="Decision")</formula>
    </cfRule>
    <cfRule type="expression" priority="3" aboveAverage="0" equalAverage="0" bottom="0" percent="0" rank="0" text="" dxfId="1">
      <formula>$H5="In Progress"</formula>
    </cfRule>
    <cfRule type="expression" priority="4" aboveAverage="0" equalAverage="0" bottom="0" percent="0" rank="0" text="" dxfId="4">
      <formula>$H5="Partial"</formula>
    </cfRule>
    <cfRule type="expression" priority="5" aboveAverage="0" equalAverage="0" bottom="0" percent="0" rank="0" text="" dxfId="3">
      <formula>$H5="Halted"</formula>
    </cfRule>
  </conditionalFormatting>
  <conditionalFormatting sqref="D5:D200">
    <cfRule type="expression" priority="6" aboveAverage="0" equalAverage="0" bottom="0" percent="0" rank="0" text="" dxfId="3">
      <formula>AND(ISNUMBER($D5),ISNUMBER($C5),$D5&gt;$C5*1.5)</formula>
    </cfRule>
  </conditionalFormatting>
  <dataValidations count="1">
    <dataValidation allowBlank="true" errorStyle="stop" operator="between" showDropDown="false" showErrorMessage="false" showInputMessage="false" sqref="H5:H200" type="list">
      <formula1>"Not Started,In Progress,Confirmed,Decision,Partial,Halted,Superseded"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4" hidden="false" customHeight="true" outlineLevel="0" collapsed="false">
      <c r="A1" s="5" t="s">
        <v>530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531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6" t="s">
        <v>532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1.5" hidden="false" customHeight="true" outlineLevel="0" collapsed="false">
      <c r="A4" s="7" t="s">
        <v>533</v>
      </c>
      <c r="B4" s="7" t="s">
        <v>48</v>
      </c>
      <c r="C4" s="7" t="s">
        <v>534</v>
      </c>
      <c r="D4" s="7" t="s">
        <v>347</v>
      </c>
      <c r="E4" s="7" t="s">
        <v>535</v>
      </c>
      <c r="F4" s="7" t="s">
        <v>536</v>
      </c>
      <c r="G4" s="7" t="s">
        <v>537</v>
      </c>
      <c r="H4" s="7" t="s">
        <v>538</v>
      </c>
      <c r="I4" s="7" t="s">
        <v>539</v>
      </c>
      <c r="J4" s="7" t="s">
        <v>199</v>
      </c>
    </row>
    <row r="5" customFormat="false" ht="23.85" hidden="false" customHeight="false" outlineLevel="0" collapsed="false">
      <c r="A5" s="8" t="s">
        <v>540</v>
      </c>
      <c r="B5" s="8" t="s">
        <v>541</v>
      </c>
      <c r="C5" s="8" t="s">
        <v>542</v>
      </c>
      <c r="D5" s="8" t="s">
        <v>543</v>
      </c>
      <c r="E5" s="8" t="s">
        <v>544</v>
      </c>
      <c r="F5" s="8" t="s">
        <v>545</v>
      </c>
      <c r="G5" s="8" t="s">
        <v>546</v>
      </c>
      <c r="H5" s="8" t="s">
        <v>547</v>
      </c>
      <c r="I5" s="8" t="s">
        <v>59</v>
      </c>
      <c r="J5" s="8"/>
    </row>
    <row r="6" customFormat="false" ht="23.85" hidden="false" customHeight="false" outlineLevel="0" collapsed="false">
      <c r="A6" s="8" t="s">
        <v>548</v>
      </c>
      <c r="B6" s="8" t="s">
        <v>549</v>
      </c>
      <c r="C6" s="8" t="s">
        <v>550</v>
      </c>
      <c r="D6" s="8" t="s">
        <v>551</v>
      </c>
      <c r="E6" s="8" t="s">
        <v>552</v>
      </c>
      <c r="F6" s="8" t="s">
        <v>553</v>
      </c>
      <c r="G6" s="8" t="s">
        <v>554</v>
      </c>
      <c r="H6" s="8" t="s">
        <v>555</v>
      </c>
      <c r="I6" s="8" t="s">
        <v>59</v>
      </c>
      <c r="J6" s="8"/>
    </row>
    <row r="7" customFormat="false" ht="23.85" hidden="false" customHeight="false" outlineLevel="0" collapsed="false">
      <c r="A7" s="8" t="s">
        <v>556</v>
      </c>
      <c r="B7" s="8" t="s">
        <v>557</v>
      </c>
      <c r="C7" s="8" t="s">
        <v>558</v>
      </c>
      <c r="D7" s="8" t="s">
        <v>559</v>
      </c>
      <c r="E7" s="8" t="s">
        <v>560</v>
      </c>
      <c r="F7" s="8" t="s">
        <v>561</v>
      </c>
      <c r="G7" s="8" t="s">
        <v>562</v>
      </c>
      <c r="H7" s="8" t="s">
        <v>563</v>
      </c>
      <c r="I7" s="8" t="s">
        <v>70</v>
      </c>
      <c r="J7" s="8"/>
    </row>
    <row r="8" customFormat="false" ht="23.85" hidden="false" customHeight="false" outlineLevel="0" collapsed="false">
      <c r="A8" s="8" t="s">
        <v>564</v>
      </c>
      <c r="B8" s="8" t="s">
        <v>565</v>
      </c>
      <c r="C8" s="8" t="s">
        <v>566</v>
      </c>
      <c r="D8" s="8" t="s">
        <v>551</v>
      </c>
      <c r="E8" s="8" t="s">
        <v>567</v>
      </c>
      <c r="F8" s="8" t="s">
        <v>568</v>
      </c>
      <c r="G8" s="8" t="s">
        <v>569</v>
      </c>
      <c r="H8" s="8" t="s">
        <v>570</v>
      </c>
      <c r="I8" s="8" t="s">
        <v>70</v>
      </c>
      <c r="J8" s="8"/>
    </row>
    <row r="9" customFormat="false" ht="23.85" hidden="false" customHeight="false" outlineLevel="0" collapsed="false">
      <c r="A9" s="8" t="s">
        <v>571</v>
      </c>
      <c r="B9" s="8" t="s">
        <v>572</v>
      </c>
      <c r="C9" s="8" t="s">
        <v>573</v>
      </c>
      <c r="D9" s="8" t="s">
        <v>574</v>
      </c>
      <c r="E9" s="8" t="s">
        <v>575</v>
      </c>
      <c r="F9" s="8" t="s">
        <v>576</v>
      </c>
      <c r="G9" s="8" t="s">
        <v>577</v>
      </c>
      <c r="H9" s="8" t="s">
        <v>570</v>
      </c>
      <c r="I9" s="8" t="s">
        <v>74</v>
      </c>
      <c r="J9" s="8"/>
    </row>
    <row r="10" customFormat="false" ht="23.85" hidden="false" customHeight="false" outlineLevel="0" collapsed="false">
      <c r="A10" s="8" t="s">
        <v>578</v>
      </c>
      <c r="B10" s="8" t="s">
        <v>579</v>
      </c>
      <c r="C10" s="8" t="s">
        <v>580</v>
      </c>
      <c r="D10" s="8" t="s">
        <v>581</v>
      </c>
      <c r="E10" s="8" t="s">
        <v>582</v>
      </c>
      <c r="F10" s="8" t="s">
        <v>583</v>
      </c>
      <c r="G10" s="8" t="s">
        <v>584</v>
      </c>
      <c r="H10" s="8" t="s">
        <v>585</v>
      </c>
      <c r="I10" s="8" t="s">
        <v>80</v>
      </c>
      <c r="J10" s="8"/>
    </row>
    <row r="11" customFormat="false" ht="23.85" hidden="false" customHeight="false" outlineLevel="0" collapsed="false">
      <c r="A11" s="8" t="s">
        <v>586</v>
      </c>
      <c r="B11" s="8" t="s">
        <v>587</v>
      </c>
      <c r="C11" s="8" t="s">
        <v>588</v>
      </c>
      <c r="D11" s="8" t="s">
        <v>589</v>
      </c>
      <c r="E11" s="8" t="s">
        <v>590</v>
      </c>
      <c r="F11" s="8" t="s">
        <v>591</v>
      </c>
      <c r="G11" s="8" t="s">
        <v>592</v>
      </c>
      <c r="H11" s="8" t="s">
        <v>593</v>
      </c>
      <c r="I11" s="8" t="s">
        <v>594</v>
      </c>
      <c r="J11" s="8" t="s">
        <v>595</v>
      </c>
    </row>
    <row r="12" customFormat="false" ht="35.05" hidden="false" customHeight="false" outlineLevel="0" collapsed="false">
      <c r="A12" s="8" t="s">
        <v>596</v>
      </c>
      <c r="B12" s="8" t="s">
        <v>597</v>
      </c>
      <c r="C12" s="8" t="s">
        <v>598</v>
      </c>
      <c r="D12" s="8" t="s">
        <v>599</v>
      </c>
      <c r="E12" s="8" t="s">
        <v>600</v>
      </c>
      <c r="F12" s="8" t="s">
        <v>601</v>
      </c>
      <c r="G12" s="8" t="s">
        <v>602</v>
      </c>
      <c r="H12" s="8" t="s">
        <v>603</v>
      </c>
      <c r="I12" s="8" t="s">
        <v>84</v>
      </c>
      <c r="J12" s="8"/>
    </row>
    <row r="13" customFormat="false" ht="23.85" hidden="false" customHeight="false" outlineLevel="0" collapsed="false">
      <c r="A13" s="8" t="s">
        <v>604</v>
      </c>
      <c r="B13" s="8" t="s">
        <v>605</v>
      </c>
      <c r="C13" s="8" t="s">
        <v>606</v>
      </c>
      <c r="D13" s="8" t="s">
        <v>607</v>
      </c>
      <c r="E13" s="8" t="s">
        <v>608</v>
      </c>
      <c r="F13" s="8" t="s">
        <v>609</v>
      </c>
      <c r="G13" s="8" t="s">
        <v>610</v>
      </c>
      <c r="H13" s="8" t="s">
        <v>611</v>
      </c>
      <c r="I13" s="8" t="s">
        <v>118</v>
      </c>
      <c r="J13" s="8" t="s">
        <v>612</v>
      </c>
    </row>
    <row r="14" customFormat="false" ht="15" hidden="false" customHeight="false" outlineLevel="0" collapsed="false">
      <c r="A14" s="8" t="s">
        <v>613</v>
      </c>
      <c r="B14" s="8" t="s">
        <v>614</v>
      </c>
      <c r="C14" s="8" t="s">
        <v>615</v>
      </c>
      <c r="D14" s="8" t="s">
        <v>616</v>
      </c>
      <c r="E14" s="8" t="s">
        <v>617</v>
      </c>
      <c r="F14" s="8" t="s">
        <v>618</v>
      </c>
      <c r="G14" s="8" t="s">
        <v>619</v>
      </c>
      <c r="H14" s="8" t="s">
        <v>570</v>
      </c>
      <c r="I14" s="8" t="s">
        <v>122</v>
      </c>
      <c r="J14" s="8"/>
    </row>
    <row r="15" customFormat="false" ht="23.85" hidden="false" customHeight="false" outlineLevel="0" collapsed="false">
      <c r="A15" s="8" t="s">
        <v>620</v>
      </c>
      <c r="B15" s="8" t="s">
        <v>621</v>
      </c>
      <c r="C15" s="8" t="s">
        <v>622</v>
      </c>
      <c r="D15" s="8" t="s">
        <v>623</v>
      </c>
      <c r="E15" s="8" t="s">
        <v>624</v>
      </c>
      <c r="F15" s="8" t="s">
        <v>625</v>
      </c>
      <c r="G15" s="8" t="s">
        <v>626</v>
      </c>
      <c r="H15" s="8" t="s">
        <v>627</v>
      </c>
      <c r="I15" s="8" t="s">
        <v>122</v>
      </c>
      <c r="J15" s="8"/>
    </row>
    <row r="16" customFormat="false" ht="23.85" hidden="false" customHeight="false" outlineLevel="0" collapsed="false">
      <c r="A16" s="8" t="s">
        <v>628</v>
      </c>
      <c r="B16" s="8" t="s">
        <v>629</v>
      </c>
      <c r="C16" s="8" t="s">
        <v>630</v>
      </c>
      <c r="D16" s="8" t="s">
        <v>631</v>
      </c>
      <c r="E16" s="8" t="s">
        <v>632</v>
      </c>
      <c r="F16" s="8" t="s">
        <v>633</v>
      </c>
      <c r="G16" s="8" t="s">
        <v>634</v>
      </c>
      <c r="H16" s="8" t="s">
        <v>635</v>
      </c>
      <c r="I16" s="8" t="s">
        <v>122</v>
      </c>
      <c r="J16" s="8" t="s">
        <v>636</v>
      </c>
    </row>
    <row r="17" customFormat="false" ht="23.85" hidden="false" customHeight="false" outlineLevel="0" collapsed="false">
      <c r="A17" s="8" t="s">
        <v>637</v>
      </c>
      <c r="B17" s="8" t="s">
        <v>638</v>
      </c>
      <c r="C17" s="8" t="s">
        <v>639</v>
      </c>
      <c r="D17" s="8" t="s">
        <v>640</v>
      </c>
      <c r="E17" s="8" t="s">
        <v>641</v>
      </c>
      <c r="F17" s="8" t="s">
        <v>642</v>
      </c>
      <c r="G17" s="8" t="s">
        <v>643</v>
      </c>
      <c r="H17" s="8" t="s">
        <v>570</v>
      </c>
      <c r="I17" s="8" t="s">
        <v>122</v>
      </c>
      <c r="J17" s="8"/>
    </row>
    <row r="18" customFormat="false" ht="35.05" hidden="false" customHeight="false" outlineLevel="0" collapsed="false">
      <c r="A18" s="8" t="s">
        <v>644</v>
      </c>
      <c r="B18" s="8" t="s">
        <v>645</v>
      </c>
      <c r="C18" s="8" t="s">
        <v>646</v>
      </c>
      <c r="D18" s="8" t="s">
        <v>647</v>
      </c>
      <c r="E18" s="8" t="s">
        <v>648</v>
      </c>
      <c r="F18" s="8" t="s">
        <v>649</v>
      </c>
      <c r="G18" s="8" t="s">
        <v>650</v>
      </c>
      <c r="H18" s="8" t="s">
        <v>570</v>
      </c>
      <c r="I18" s="8" t="s">
        <v>594</v>
      </c>
      <c r="J18" s="8"/>
    </row>
    <row r="19" customFormat="false" ht="23.85" hidden="false" customHeight="false" outlineLevel="0" collapsed="false">
      <c r="A19" s="8" t="s">
        <v>651</v>
      </c>
      <c r="B19" s="8" t="s">
        <v>652</v>
      </c>
      <c r="C19" s="8" t="s">
        <v>653</v>
      </c>
      <c r="D19" s="8" t="s">
        <v>654</v>
      </c>
      <c r="E19" s="8" t="s">
        <v>655</v>
      </c>
      <c r="F19" s="8" t="s">
        <v>656</v>
      </c>
      <c r="G19" s="8" t="s">
        <v>657</v>
      </c>
      <c r="H19" s="8" t="s">
        <v>658</v>
      </c>
      <c r="I19" s="8" t="s">
        <v>132</v>
      </c>
      <c r="J19" s="8"/>
    </row>
    <row r="20" customFormat="false" ht="15" hidden="false" customHeight="false" outlineLevel="0" collapsed="false">
      <c r="A20" s="8" t="s">
        <v>659</v>
      </c>
      <c r="B20" s="8" t="s">
        <v>660</v>
      </c>
      <c r="C20" s="8" t="s">
        <v>661</v>
      </c>
      <c r="D20" s="8" t="s">
        <v>662</v>
      </c>
      <c r="E20" s="8" t="s">
        <v>663</v>
      </c>
      <c r="F20" s="8" t="s">
        <v>664</v>
      </c>
      <c r="G20" s="8" t="s">
        <v>665</v>
      </c>
      <c r="H20" s="8" t="s">
        <v>658</v>
      </c>
      <c r="I20" s="8" t="s">
        <v>594</v>
      </c>
      <c r="J20" s="8"/>
    </row>
    <row r="21" customFormat="false" ht="23.85" hidden="false" customHeight="false" outlineLevel="0" collapsed="false">
      <c r="A21" s="8" t="s">
        <v>666</v>
      </c>
      <c r="B21" s="8" t="s">
        <v>667</v>
      </c>
      <c r="C21" s="8" t="s">
        <v>668</v>
      </c>
      <c r="D21" s="8" t="s">
        <v>669</v>
      </c>
      <c r="E21" s="8" t="s">
        <v>670</v>
      </c>
      <c r="F21" s="8" t="s">
        <v>671</v>
      </c>
      <c r="G21" s="8" t="s">
        <v>594</v>
      </c>
      <c r="H21" s="8" t="s">
        <v>672</v>
      </c>
      <c r="I21" s="8" t="s">
        <v>594</v>
      </c>
      <c r="J21" s="8"/>
    </row>
    <row r="22" customFormat="false" ht="15" hidden="false" customHeight="false" outlineLevel="0" collapsed="false">
      <c r="A22" s="8" t="s">
        <v>673</v>
      </c>
      <c r="B22" s="8" t="s">
        <v>674</v>
      </c>
      <c r="C22" s="8" t="s">
        <v>675</v>
      </c>
      <c r="D22" s="8" t="s">
        <v>676</v>
      </c>
      <c r="E22" s="8" t="s">
        <v>677</v>
      </c>
      <c r="F22" s="8" t="s">
        <v>678</v>
      </c>
      <c r="G22" s="8" t="s">
        <v>594</v>
      </c>
      <c r="H22" s="8" t="s">
        <v>679</v>
      </c>
      <c r="I22" s="8" t="s">
        <v>594</v>
      </c>
      <c r="J22" s="8"/>
    </row>
    <row r="23" customFormat="false" ht="23.85" hidden="false" customHeight="false" outlineLevel="0" collapsed="false">
      <c r="A23" s="8" t="s">
        <v>680</v>
      </c>
      <c r="B23" s="8" t="s">
        <v>681</v>
      </c>
      <c r="C23" s="8" t="s">
        <v>682</v>
      </c>
      <c r="D23" s="8" t="s">
        <v>623</v>
      </c>
      <c r="E23" s="8" t="s">
        <v>683</v>
      </c>
      <c r="F23" s="8" t="s">
        <v>684</v>
      </c>
      <c r="G23" s="8" t="s">
        <v>685</v>
      </c>
      <c r="H23" s="8" t="s">
        <v>686</v>
      </c>
      <c r="I23" s="8" t="s">
        <v>141</v>
      </c>
      <c r="J23" s="8"/>
    </row>
    <row r="24" customFormat="false" ht="15" hidden="false" customHeight="false" outlineLevel="0" collapsed="false">
      <c r="A24" s="8" t="s">
        <v>687</v>
      </c>
      <c r="B24" s="8" t="s">
        <v>688</v>
      </c>
      <c r="C24" s="8" t="s">
        <v>689</v>
      </c>
      <c r="D24" s="8" t="s">
        <v>631</v>
      </c>
      <c r="E24" s="8" t="s">
        <v>690</v>
      </c>
      <c r="F24" s="8" t="s">
        <v>691</v>
      </c>
      <c r="G24" s="8" t="s">
        <v>692</v>
      </c>
      <c r="H24" s="8" t="s">
        <v>693</v>
      </c>
      <c r="I24" s="8" t="s">
        <v>594</v>
      </c>
      <c r="J24" s="8" t="s">
        <v>694</v>
      </c>
    </row>
  </sheetData>
  <mergeCells count="3">
    <mergeCell ref="A1:J1"/>
    <mergeCell ref="A2:J2"/>
    <mergeCell ref="A3:J3"/>
  </mergeCells>
  <dataValidations count="1">
    <dataValidation allowBlank="true" errorStyle="stop" operator="between" showDropDown="false" showErrorMessage="false" showInputMessage="false" sqref="B5:B100" type="list">
      <formula1>"Language/Runtime,Application Framework,Primary Database,Database HA,Message Broker,Distributed Cache,Reverse Proxy / Load Balancer,Configuration Management / Deployment,Secrets Management,Metrics,Visualization,Log Aggregation,Tracing,API Gateway,Frontend 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6"/>
  </cols>
  <sheetData>
    <row r="1" customFormat="false" ht="24" hidden="false" customHeight="true" outlineLevel="0" collapsed="false">
      <c r="A1" s="5" t="s">
        <v>695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696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 t="s">
        <v>697</v>
      </c>
      <c r="B3" s="6"/>
      <c r="C3" s="6"/>
      <c r="D3" s="6"/>
      <c r="E3" s="6"/>
      <c r="F3" s="6"/>
      <c r="G3" s="6"/>
      <c r="H3" s="6"/>
      <c r="I3" s="6"/>
    </row>
    <row r="4" customFormat="false" ht="31.5" hidden="false" customHeight="true" outlineLevel="0" collapsed="false">
      <c r="A4" s="7" t="s">
        <v>698</v>
      </c>
      <c r="B4" s="7" t="s">
        <v>699</v>
      </c>
      <c r="C4" s="7" t="s">
        <v>700</v>
      </c>
      <c r="D4" s="7" t="s">
        <v>701</v>
      </c>
      <c r="E4" s="7" t="s">
        <v>702</v>
      </c>
      <c r="F4" s="7" t="s">
        <v>703</v>
      </c>
      <c r="G4" s="7" t="s">
        <v>704</v>
      </c>
      <c r="H4" s="7" t="s">
        <v>705</v>
      </c>
      <c r="I4" s="7" t="s">
        <v>706</v>
      </c>
    </row>
    <row r="5" customFormat="false" ht="23.85" hidden="false" customHeight="false" outlineLevel="0" collapsed="false">
      <c r="A5" s="8" t="s">
        <v>707</v>
      </c>
      <c r="B5" s="9" t="s">
        <v>76</v>
      </c>
      <c r="C5" s="8" t="s">
        <v>708</v>
      </c>
      <c r="D5" s="8" t="s">
        <v>709</v>
      </c>
      <c r="E5" s="8" t="s">
        <v>710</v>
      </c>
      <c r="F5" s="8" t="s">
        <v>711</v>
      </c>
      <c r="G5" s="9" t="s">
        <v>64</v>
      </c>
      <c r="H5" s="8" t="s">
        <v>712</v>
      </c>
      <c r="I5" s="8" t="s">
        <v>713</v>
      </c>
    </row>
    <row r="6" customFormat="false" ht="23.85" hidden="false" customHeight="false" outlineLevel="0" collapsed="false">
      <c r="A6" s="8" t="s">
        <v>714</v>
      </c>
      <c r="B6" s="9" t="s">
        <v>64</v>
      </c>
      <c r="C6" s="8" t="s">
        <v>715</v>
      </c>
      <c r="D6" s="8" t="s">
        <v>716</v>
      </c>
      <c r="E6" s="8" t="s">
        <v>717</v>
      </c>
      <c r="F6" s="8" t="s">
        <v>718</v>
      </c>
      <c r="G6" s="9" t="s">
        <v>77</v>
      </c>
      <c r="H6" s="8" t="s">
        <v>719</v>
      </c>
      <c r="I6" s="8" t="s">
        <v>713</v>
      </c>
    </row>
    <row r="7" customFormat="false" ht="35.05" hidden="false" customHeight="false" outlineLevel="0" collapsed="false">
      <c r="A7" s="8" t="s">
        <v>720</v>
      </c>
      <c r="B7" s="9" t="s">
        <v>77</v>
      </c>
      <c r="C7" s="8" t="s">
        <v>721</v>
      </c>
      <c r="D7" s="8" t="s">
        <v>722</v>
      </c>
      <c r="E7" s="8" t="s">
        <v>723</v>
      </c>
      <c r="F7" s="8" t="s">
        <v>724</v>
      </c>
      <c r="G7" s="9" t="s">
        <v>87</v>
      </c>
      <c r="H7" s="8" t="s">
        <v>725</v>
      </c>
      <c r="I7" s="8" t="s">
        <v>713</v>
      </c>
    </row>
    <row r="8" customFormat="false" ht="23.85" hidden="false" customHeight="false" outlineLevel="0" collapsed="false">
      <c r="A8" s="8" t="s">
        <v>726</v>
      </c>
      <c r="B8" s="9" t="s">
        <v>87</v>
      </c>
      <c r="C8" s="8" t="s">
        <v>727</v>
      </c>
      <c r="D8" s="8" t="s">
        <v>728</v>
      </c>
      <c r="E8" s="8" t="s">
        <v>729</v>
      </c>
      <c r="F8" s="8" t="s">
        <v>730</v>
      </c>
      <c r="G8" s="9" t="s">
        <v>93</v>
      </c>
      <c r="H8" s="8" t="s">
        <v>731</v>
      </c>
      <c r="I8" s="8" t="s">
        <v>713</v>
      </c>
    </row>
    <row r="9" customFormat="false" ht="35.05" hidden="false" customHeight="false" outlineLevel="0" collapsed="false">
      <c r="A9" s="8" t="s">
        <v>732</v>
      </c>
      <c r="B9" s="9" t="s">
        <v>93</v>
      </c>
      <c r="C9" s="8" t="s">
        <v>733</v>
      </c>
      <c r="D9" s="8" t="s">
        <v>734</v>
      </c>
      <c r="E9" s="8" t="s">
        <v>735</v>
      </c>
      <c r="F9" s="8" t="s">
        <v>736</v>
      </c>
      <c r="G9" s="9" t="s">
        <v>106</v>
      </c>
      <c r="H9" s="8" t="s">
        <v>737</v>
      </c>
      <c r="I9" s="8" t="s">
        <v>713</v>
      </c>
    </row>
    <row r="10" customFormat="false" ht="23.85" hidden="false" customHeight="false" outlineLevel="0" collapsed="false">
      <c r="A10" s="8" t="s">
        <v>738</v>
      </c>
      <c r="B10" s="9" t="s">
        <v>106</v>
      </c>
      <c r="C10" s="8" t="s">
        <v>739</v>
      </c>
      <c r="D10" s="8" t="s">
        <v>740</v>
      </c>
      <c r="E10" s="8" t="s">
        <v>741</v>
      </c>
      <c r="F10" s="8" t="s">
        <v>742</v>
      </c>
      <c r="G10" s="9" t="s">
        <v>115</v>
      </c>
      <c r="H10" s="8" t="s">
        <v>743</v>
      </c>
      <c r="I10" s="8" t="s">
        <v>713</v>
      </c>
    </row>
    <row r="11" customFormat="false" ht="23.85" hidden="false" customHeight="false" outlineLevel="0" collapsed="false">
      <c r="A11" s="8" t="s">
        <v>744</v>
      </c>
      <c r="B11" s="9" t="s">
        <v>115</v>
      </c>
      <c r="C11" s="8" t="s">
        <v>745</v>
      </c>
      <c r="D11" s="8" t="s">
        <v>746</v>
      </c>
      <c r="E11" s="8" t="s">
        <v>747</v>
      </c>
      <c r="F11" s="8" t="s">
        <v>748</v>
      </c>
      <c r="G11" s="9" t="s">
        <v>124</v>
      </c>
      <c r="H11" s="8" t="s">
        <v>749</v>
      </c>
      <c r="I11" s="8" t="s">
        <v>713</v>
      </c>
    </row>
    <row r="12" customFormat="false" ht="23.85" hidden="false" customHeight="false" outlineLevel="0" collapsed="false">
      <c r="A12" s="8" t="s">
        <v>750</v>
      </c>
      <c r="B12" s="9" t="s">
        <v>124</v>
      </c>
      <c r="C12" s="8" t="s">
        <v>751</v>
      </c>
      <c r="D12" s="8" t="s">
        <v>752</v>
      </c>
      <c r="E12" s="8" t="s">
        <v>741</v>
      </c>
      <c r="F12" s="8" t="s">
        <v>753</v>
      </c>
      <c r="G12" s="9" t="s">
        <v>134</v>
      </c>
      <c r="H12" s="8" t="s">
        <v>754</v>
      </c>
      <c r="I12" s="8" t="s">
        <v>713</v>
      </c>
    </row>
    <row r="13" customFormat="false" ht="35.05" hidden="false" customHeight="false" outlineLevel="0" collapsed="false">
      <c r="A13" s="8" t="s">
        <v>755</v>
      </c>
      <c r="B13" s="9" t="s">
        <v>134</v>
      </c>
      <c r="C13" s="8" t="s">
        <v>756</v>
      </c>
      <c r="D13" s="8" t="s">
        <v>757</v>
      </c>
      <c r="E13" s="8" t="s">
        <v>758</v>
      </c>
      <c r="F13" s="8" t="s">
        <v>759</v>
      </c>
      <c r="G13" s="9" t="s">
        <v>143</v>
      </c>
      <c r="H13" s="8" t="s">
        <v>760</v>
      </c>
      <c r="I13" s="8" t="s">
        <v>713</v>
      </c>
    </row>
    <row r="14" customFormat="false" ht="23.85" hidden="false" customHeight="false" outlineLevel="0" collapsed="false">
      <c r="A14" s="8" t="s">
        <v>761</v>
      </c>
      <c r="B14" s="9" t="s">
        <v>143</v>
      </c>
      <c r="C14" s="8" t="s">
        <v>762</v>
      </c>
      <c r="D14" s="8" t="s">
        <v>763</v>
      </c>
      <c r="E14" s="8" t="s">
        <v>764</v>
      </c>
      <c r="F14" s="8" t="s">
        <v>765</v>
      </c>
      <c r="G14" s="9" t="s">
        <v>160</v>
      </c>
      <c r="H14" s="8" t="s">
        <v>766</v>
      </c>
      <c r="I14" s="8" t="s">
        <v>713</v>
      </c>
    </row>
    <row r="15" customFormat="false" ht="46.25" hidden="false" customHeight="false" outlineLevel="0" collapsed="false">
      <c r="A15" s="8" t="s">
        <v>767</v>
      </c>
      <c r="B15" s="9" t="s">
        <v>160</v>
      </c>
      <c r="C15" s="8" t="s">
        <v>768</v>
      </c>
      <c r="D15" s="8" t="s">
        <v>769</v>
      </c>
      <c r="E15" s="8" t="s">
        <v>770</v>
      </c>
      <c r="F15" s="8" t="s">
        <v>771</v>
      </c>
      <c r="G15" s="9" t="s">
        <v>170</v>
      </c>
      <c r="H15" s="8" t="s">
        <v>772</v>
      </c>
      <c r="I15" s="8" t="s">
        <v>713</v>
      </c>
    </row>
    <row r="16" customFormat="false" ht="35.05" hidden="false" customHeight="false" outlineLevel="0" collapsed="false">
      <c r="A16" s="8" t="s">
        <v>773</v>
      </c>
      <c r="B16" s="9" t="s">
        <v>170</v>
      </c>
      <c r="C16" s="8" t="s">
        <v>774</v>
      </c>
      <c r="D16" s="8" t="s">
        <v>775</v>
      </c>
      <c r="E16" s="8" t="s">
        <v>776</v>
      </c>
      <c r="F16" s="8" t="s">
        <v>777</v>
      </c>
      <c r="G16" s="9" t="s">
        <v>778</v>
      </c>
      <c r="H16" s="8" t="s">
        <v>779</v>
      </c>
      <c r="I16" s="8" t="s">
        <v>780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6" min="3" style="0" width="28"/>
    <col collapsed="false" customWidth="true" hidden="false" outlineLevel="0" max="8" min="7" style="0" width="22"/>
  </cols>
  <sheetData>
    <row r="1" customFormat="false" ht="24" hidden="false" customHeight="true" outlineLevel="0" collapsed="false">
      <c r="A1" s="5" t="s">
        <v>781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782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 t="s">
        <v>783</v>
      </c>
      <c r="B3" s="6"/>
      <c r="C3" s="6"/>
      <c r="D3" s="6"/>
      <c r="E3" s="6"/>
      <c r="F3" s="6"/>
      <c r="G3" s="6"/>
      <c r="H3" s="6"/>
    </row>
    <row r="4" customFormat="false" ht="31.5" hidden="false" customHeight="true" outlineLevel="0" collapsed="false">
      <c r="A4" s="7" t="s">
        <v>368</v>
      </c>
      <c r="B4" s="7" t="s">
        <v>784</v>
      </c>
      <c r="C4" s="7" t="s">
        <v>785</v>
      </c>
      <c r="D4" s="7" t="s">
        <v>786</v>
      </c>
      <c r="E4" s="7" t="s">
        <v>787</v>
      </c>
      <c r="F4" s="7" t="s">
        <v>788</v>
      </c>
      <c r="G4" s="7" t="s">
        <v>789</v>
      </c>
      <c r="H4" s="7" t="s">
        <v>199</v>
      </c>
    </row>
    <row r="5" customFormat="false" ht="46.25" hidden="false" customHeight="false" outlineLevel="0" collapsed="false">
      <c r="A5" s="8" t="s">
        <v>790</v>
      </c>
      <c r="B5" s="8" t="s">
        <v>791</v>
      </c>
      <c r="C5" s="8" t="s">
        <v>792</v>
      </c>
      <c r="D5" s="8" t="s">
        <v>793</v>
      </c>
      <c r="E5" s="8" t="s">
        <v>794</v>
      </c>
      <c r="F5" s="8" t="s">
        <v>795</v>
      </c>
      <c r="G5" s="8" t="s">
        <v>796</v>
      </c>
      <c r="H5" s="8"/>
    </row>
    <row r="6" customFormat="false" ht="35.05" hidden="false" customHeight="false" outlineLevel="0" collapsed="false">
      <c r="A6" s="8" t="s">
        <v>797</v>
      </c>
      <c r="B6" s="8" t="s">
        <v>791</v>
      </c>
      <c r="C6" s="8" t="s">
        <v>798</v>
      </c>
      <c r="D6" s="8" t="s">
        <v>799</v>
      </c>
      <c r="E6" s="8" t="s">
        <v>800</v>
      </c>
      <c r="F6" s="8" t="s">
        <v>801</v>
      </c>
      <c r="G6" s="8" t="s">
        <v>802</v>
      </c>
      <c r="H6" s="8"/>
    </row>
    <row r="7" customFormat="false" ht="35.05" hidden="false" customHeight="false" outlineLevel="0" collapsed="false">
      <c r="A7" s="8" t="s">
        <v>803</v>
      </c>
      <c r="B7" s="8" t="s">
        <v>804</v>
      </c>
      <c r="C7" s="8" t="s">
        <v>805</v>
      </c>
      <c r="D7" s="8" t="s">
        <v>806</v>
      </c>
      <c r="E7" s="8" t="s">
        <v>807</v>
      </c>
      <c r="F7" s="8" t="s">
        <v>808</v>
      </c>
      <c r="G7" s="8" t="s">
        <v>809</v>
      </c>
      <c r="H7" s="8"/>
    </row>
    <row r="8" customFormat="false" ht="35.05" hidden="false" customHeight="false" outlineLevel="0" collapsed="false">
      <c r="A8" s="8" t="s">
        <v>810</v>
      </c>
      <c r="B8" s="8" t="s">
        <v>804</v>
      </c>
      <c r="C8" s="8" t="s">
        <v>811</v>
      </c>
      <c r="D8" s="8" t="s">
        <v>812</v>
      </c>
      <c r="E8" s="8" t="s">
        <v>813</v>
      </c>
      <c r="F8" s="8" t="s">
        <v>814</v>
      </c>
      <c r="G8" s="8" t="s">
        <v>815</v>
      </c>
      <c r="H8" s="8" t="s">
        <v>816</v>
      </c>
    </row>
    <row r="9" customFormat="false" ht="35.05" hidden="false" customHeight="false" outlineLevel="0" collapsed="false">
      <c r="A9" s="8" t="s">
        <v>817</v>
      </c>
      <c r="B9" s="8" t="s">
        <v>804</v>
      </c>
      <c r="C9" s="8" t="s">
        <v>818</v>
      </c>
      <c r="D9" s="8" t="s">
        <v>819</v>
      </c>
      <c r="E9" s="8" t="s">
        <v>820</v>
      </c>
      <c r="F9" s="8" t="s">
        <v>821</v>
      </c>
      <c r="G9" s="8" t="s">
        <v>822</v>
      </c>
      <c r="H9" s="8" t="s">
        <v>823</v>
      </c>
    </row>
    <row r="10" customFormat="false" ht="35.05" hidden="false" customHeight="false" outlineLevel="0" collapsed="false">
      <c r="A10" s="8" t="s">
        <v>824</v>
      </c>
      <c r="B10" s="8" t="s">
        <v>804</v>
      </c>
      <c r="C10" s="8" t="s">
        <v>825</v>
      </c>
      <c r="D10" s="8" t="s">
        <v>826</v>
      </c>
      <c r="E10" s="8" t="s">
        <v>827</v>
      </c>
      <c r="F10" s="8" t="s">
        <v>828</v>
      </c>
      <c r="G10" s="8" t="s">
        <v>829</v>
      </c>
      <c r="H10" s="8" t="s">
        <v>816</v>
      </c>
    </row>
    <row r="11" customFormat="false" ht="23.85" hidden="false" customHeight="false" outlineLevel="0" collapsed="false">
      <c r="A11" s="8" t="s">
        <v>830</v>
      </c>
      <c r="B11" s="8" t="s">
        <v>791</v>
      </c>
      <c r="C11" s="8" t="s">
        <v>831</v>
      </c>
      <c r="D11" s="8" t="s">
        <v>832</v>
      </c>
      <c r="E11" s="8" t="s">
        <v>833</v>
      </c>
      <c r="F11" s="8" t="s">
        <v>834</v>
      </c>
      <c r="G11" s="8" t="s">
        <v>835</v>
      </c>
      <c r="H11" s="8" t="s">
        <v>836</v>
      </c>
    </row>
    <row r="12" customFormat="false" ht="23.85" hidden="false" customHeight="false" outlineLevel="0" collapsed="false">
      <c r="A12" s="8" t="s">
        <v>837</v>
      </c>
      <c r="B12" s="8" t="s">
        <v>791</v>
      </c>
      <c r="C12" s="8" t="s">
        <v>838</v>
      </c>
      <c r="D12" s="8" t="s">
        <v>839</v>
      </c>
      <c r="E12" s="8" t="s">
        <v>840</v>
      </c>
      <c r="F12" s="8" t="s">
        <v>841</v>
      </c>
      <c r="G12" s="8" t="s">
        <v>842</v>
      </c>
      <c r="H12" s="8"/>
    </row>
    <row r="13" customFormat="false" ht="35.05" hidden="false" customHeight="false" outlineLevel="0" collapsed="false">
      <c r="A13" s="8" t="s">
        <v>843</v>
      </c>
      <c r="B13" s="8" t="s">
        <v>791</v>
      </c>
      <c r="C13" s="8" t="s">
        <v>844</v>
      </c>
      <c r="D13" s="8" t="s">
        <v>845</v>
      </c>
      <c r="E13" s="8" t="s">
        <v>846</v>
      </c>
      <c r="F13" s="8" t="s">
        <v>847</v>
      </c>
      <c r="G13" s="8" t="s">
        <v>848</v>
      </c>
      <c r="H13" s="8"/>
    </row>
    <row r="14" customFormat="false" ht="35.05" hidden="false" customHeight="false" outlineLevel="0" collapsed="false">
      <c r="A14" s="8" t="s">
        <v>849</v>
      </c>
      <c r="B14" s="8" t="s">
        <v>850</v>
      </c>
      <c r="C14" s="8" t="s">
        <v>851</v>
      </c>
      <c r="D14" s="8" t="s">
        <v>852</v>
      </c>
      <c r="E14" s="8" t="s">
        <v>853</v>
      </c>
      <c r="F14" s="8" t="s">
        <v>854</v>
      </c>
      <c r="G14" s="8" t="s">
        <v>855</v>
      </c>
      <c r="H14" s="8" t="s">
        <v>856</v>
      </c>
    </row>
    <row r="15" customFormat="false" ht="35.05" hidden="false" customHeight="false" outlineLevel="0" collapsed="false">
      <c r="A15" s="8" t="s">
        <v>857</v>
      </c>
      <c r="B15" s="8" t="s">
        <v>92</v>
      </c>
      <c r="C15" s="8" t="s">
        <v>858</v>
      </c>
      <c r="D15" s="8" t="s">
        <v>859</v>
      </c>
      <c r="E15" s="8" t="s">
        <v>860</v>
      </c>
      <c r="F15" s="8" t="s">
        <v>861</v>
      </c>
      <c r="G15" s="8" t="s">
        <v>862</v>
      </c>
      <c r="H15" s="8"/>
    </row>
    <row r="16" customFormat="false" ht="35.05" hidden="false" customHeight="false" outlineLevel="0" collapsed="false">
      <c r="A16" s="8" t="s">
        <v>863</v>
      </c>
      <c r="B16" s="8" t="s">
        <v>92</v>
      </c>
      <c r="C16" s="8" t="s">
        <v>864</v>
      </c>
      <c r="D16" s="8" t="s">
        <v>865</v>
      </c>
      <c r="E16" s="8" t="s">
        <v>866</v>
      </c>
      <c r="F16" s="8" t="s">
        <v>867</v>
      </c>
      <c r="G16" s="8" t="s">
        <v>868</v>
      </c>
      <c r="H16" s="8"/>
    </row>
  </sheetData>
  <mergeCells count="3">
    <mergeCell ref="A1:H1"/>
    <mergeCell ref="A2:H2"/>
    <mergeCell ref="A3:H3"/>
  </mergeCells>
  <conditionalFormatting sqref="C5:C100">
    <cfRule type="expression" priority="2" aboveAverage="0" equalAverage="0" bottom="0" percent="0" rank="0" text="" dxfId="1">
      <formula>AND($C5="",$A5&lt;&gt;"")</formula>
    </cfRule>
  </conditionalFormatting>
  <conditionalFormatting sqref="D5:D100">
    <cfRule type="expression" priority="3" aboveAverage="0" equalAverage="0" bottom="0" percent="0" rank="0" text="" dxfId="1">
      <formula>AND($D5="",$A5&lt;&gt;"")</formula>
    </cfRule>
  </conditionalFormatting>
  <conditionalFormatting sqref="E5:E100">
    <cfRule type="expression" priority="4" aboveAverage="0" equalAverage="0" bottom="0" percent="0" rank="0" text="" dxfId="1">
      <formula>AND($E5="",$A5&lt;&gt;"")</formula>
    </cfRule>
  </conditionalFormatting>
  <conditionalFormatting sqref="F5:F100">
    <cfRule type="expression" priority="5" aboveAverage="0" equalAverage="0" bottom="0" percent="0" rank="0" text="" dxfId="1">
      <formula>AND($F5="",$A5&lt;&gt;"")</formula>
    </cfRule>
  </conditionalFormatting>
  <conditionalFormatting sqref="G5:G100">
    <cfRule type="expression" priority="6" aboveAverage="0" equalAverage="0" bottom="0" percent="0" rank="0" text="" dxfId="1">
      <formula>AND($G5="",$A5&lt;&gt;"")</formula>
    </cfRule>
  </conditionalFormatting>
  <dataValidations count="1">
    <dataValidation allowBlank="true" errorStyle="stop" operator="between" showDropDown="false" showErrorMessage="false" showInputMessage="false" sqref="B5:B100" type="list">
      <formula1>"Service,Module,Integration,Client,Infrastructure,Data Store,Other"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5" t="s">
        <v>869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870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15" hidden="false" customHeight="false" outlineLevel="0" collapsed="false">
      <c r="A3" s="6" t="s">
        <v>871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31.5" hidden="false" customHeight="true" outlineLevel="0" collapsed="false">
      <c r="A4" s="7" t="s">
        <v>872</v>
      </c>
      <c r="B4" s="7" t="s">
        <v>92</v>
      </c>
      <c r="C4" s="7" t="s">
        <v>873</v>
      </c>
      <c r="D4" s="7" t="s">
        <v>874</v>
      </c>
      <c r="E4" s="7" t="s">
        <v>347</v>
      </c>
      <c r="F4" s="7" t="s">
        <v>875</v>
      </c>
      <c r="G4" s="7" t="s">
        <v>876</v>
      </c>
      <c r="H4" s="7" t="s">
        <v>877</v>
      </c>
      <c r="I4" s="7" t="s">
        <v>878</v>
      </c>
      <c r="J4" s="7" t="s">
        <v>49</v>
      </c>
      <c r="K4" s="7" t="s">
        <v>199</v>
      </c>
    </row>
    <row r="5" customFormat="false" ht="23.85" hidden="false" customHeight="false" outlineLevel="0" collapsed="false">
      <c r="A5" s="8" t="s">
        <v>879</v>
      </c>
      <c r="B5" s="8" t="s">
        <v>880</v>
      </c>
      <c r="C5" s="8" t="s">
        <v>881</v>
      </c>
      <c r="D5" s="8" t="s">
        <v>882</v>
      </c>
      <c r="E5" s="8" t="s">
        <v>354</v>
      </c>
      <c r="F5" s="8" t="s">
        <v>883</v>
      </c>
      <c r="G5" s="8" t="s">
        <v>371</v>
      </c>
      <c r="H5" s="8" t="s">
        <v>884</v>
      </c>
      <c r="I5" s="9"/>
      <c r="J5" s="8" t="s">
        <v>363</v>
      </c>
      <c r="K5" s="8" t="s">
        <v>885</v>
      </c>
    </row>
    <row r="6" customFormat="false" ht="35.05" hidden="false" customHeight="false" outlineLevel="0" collapsed="false">
      <c r="A6" s="8" t="s">
        <v>886</v>
      </c>
      <c r="B6" s="8" t="s">
        <v>887</v>
      </c>
      <c r="C6" s="8" t="s">
        <v>888</v>
      </c>
      <c r="D6" s="8" t="s">
        <v>889</v>
      </c>
      <c r="E6" s="8" t="s">
        <v>354</v>
      </c>
      <c r="F6" s="8" t="s">
        <v>890</v>
      </c>
      <c r="G6" s="8" t="s">
        <v>371</v>
      </c>
      <c r="H6" s="8" t="s">
        <v>891</v>
      </c>
      <c r="I6" s="9"/>
      <c r="J6" s="8" t="s">
        <v>378</v>
      </c>
      <c r="K6" s="8"/>
    </row>
    <row r="7" customFormat="false" ht="23.85" hidden="false" customHeight="false" outlineLevel="0" collapsed="false">
      <c r="A7" s="8" t="s">
        <v>892</v>
      </c>
      <c r="B7" s="8" t="s">
        <v>893</v>
      </c>
      <c r="C7" s="8" t="s">
        <v>894</v>
      </c>
      <c r="D7" s="8" t="s">
        <v>889</v>
      </c>
      <c r="E7" s="8" t="s">
        <v>354</v>
      </c>
      <c r="F7" s="8" t="s">
        <v>895</v>
      </c>
      <c r="G7" s="8" t="s">
        <v>371</v>
      </c>
      <c r="H7" s="8" t="s">
        <v>896</v>
      </c>
      <c r="I7" s="9"/>
      <c r="J7" s="8" t="s">
        <v>378</v>
      </c>
      <c r="K7" s="8" t="s">
        <v>897</v>
      </c>
    </row>
    <row r="8" customFormat="false" ht="35.05" hidden="false" customHeight="false" outlineLevel="0" collapsed="false">
      <c r="A8" s="8" t="s">
        <v>898</v>
      </c>
      <c r="B8" s="8" t="s">
        <v>899</v>
      </c>
      <c r="C8" s="8" t="s">
        <v>900</v>
      </c>
      <c r="D8" s="8" t="s">
        <v>901</v>
      </c>
      <c r="E8" s="8" t="s">
        <v>354</v>
      </c>
      <c r="F8" s="8" t="s">
        <v>902</v>
      </c>
      <c r="G8" s="8" t="s">
        <v>371</v>
      </c>
      <c r="H8" s="8" t="s">
        <v>903</v>
      </c>
      <c r="I8" s="9"/>
      <c r="J8" s="8" t="s">
        <v>378</v>
      </c>
      <c r="K8" s="8"/>
    </row>
    <row r="9" customFormat="false" ht="15" hidden="false" customHeight="false" outlineLevel="0" collapsed="false">
      <c r="A9" s="8" t="s">
        <v>904</v>
      </c>
      <c r="B9" s="8" t="s">
        <v>905</v>
      </c>
      <c r="C9" s="8" t="s">
        <v>906</v>
      </c>
      <c r="D9" s="8" t="s">
        <v>907</v>
      </c>
      <c r="E9" s="8" t="s">
        <v>908</v>
      </c>
      <c r="F9" s="8" t="s">
        <v>909</v>
      </c>
      <c r="G9" s="8" t="s">
        <v>402</v>
      </c>
      <c r="H9" s="8" t="s">
        <v>910</v>
      </c>
      <c r="I9" s="9"/>
      <c r="J9" s="8" t="s">
        <v>363</v>
      </c>
      <c r="K9" s="8" t="s">
        <v>911</v>
      </c>
    </row>
    <row r="10" customFormat="false" ht="23.85" hidden="false" customHeight="false" outlineLevel="0" collapsed="false">
      <c r="A10" s="8" t="s">
        <v>912</v>
      </c>
      <c r="B10" s="8" t="s">
        <v>913</v>
      </c>
      <c r="C10" s="8" t="s">
        <v>914</v>
      </c>
      <c r="D10" s="8" t="s">
        <v>915</v>
      </c>
      <c r="E10" s="8" t="s">
        <v>354</v>
      </c>
      <c r="F10" s="8" t="s">
        <v>916</v>
      </c>
      <c r="G10" s="8" t="s">
        <v>402</v>
      </c>
      <c r="H10" s="8" t="s">
        <v>917</v>
      </c>
      <c r="I10" s="9"/>
      <c r="J10" s="8" t="s">
        <v>378</v>
      </c>
      <c r="K10" s="8" t="s">
        <v>918</v>
      </c>
    </row>
    <row r="11" customFormat="false" ht="23.85" hidden="false" customHeight="false" outlineLevel="0" collapsed="false">
      <c r="A11" s="8" t="s">
        <v>919</v>
      </c>
      <c r="B11" s="8" t="s">
        <v>920</v>
      </c>
      <c r="C11" s="8" t="s">
        <v>921</v>
      </c>
      <c r="D11" s="8" t="s">
        <v>922</v>
      </c>
      <c r="E11" s="8" t="s">
        <v>354</v>
      </c>
      <c r="F11" s="8" t="s">
        <v>923</v>
      </c>
      <c r="G11" s="8" t="s">
        <v>371</v>
      </c>
      <c r="H11" s="8" t="s">
        <v>924</v>
      </c>
      <c r="I11" s="9"/>
      <c r="J11" s="8" t="s">
        <v>511</v>
      </c>
      <c r="K11" s="8" t="s">
        <v>925</v>
      </c>
    </row>
    <row r="12" customFormat="false" ht="23.85" hidden="false" customHeight="false" outlineLevel="0" collapsed="false">
      <c r="A12" s="8" t="s">
        <v>926</v>
      </c>
      <c r="B12" s="8" t="s">
        <v>927</v>
      </c>
      <c r="C12" s="8" t="s">
        <v>928</v>
      </c>
      <c r="D12" s="8" t="s">
        <v>889</v>
      </c>
      <c r="E12" s="8" t="s">
        <v>354</v>
      </c>
      <c r="F12" s="8" t="s">
        <v>929</v>
      </c>
      <c r="G12" s="8" t="s">
        <v>371</v>
      </c>
      <c r="H12" s="8" t="s">
        <v>930</v>
      </c>
      <c r="I12" s="9"/>
      <c r="J12" s="8" t="s">
        <v>511</v>
      </c>
      <c r="K12" s="8" t="s">
        <v>256</v>
      </c>
    </row>
    <row r="13" customFormat="false" ht="23.85" hidden="false" customHeight="false" outlineLevel="0" collapsed="false">
      <c r="A13" s="8" t="s">
        <v>931</v>
      </c>
      <c r="B13" s="8" t="s">
        <v>932</v>
      </c>
      <c r="C13" s="8" t="s">
        <v>933</v>
      </c>
      <c r="D13" s="8" t="s">
        <v>889</v>
      </c>
      <c r="E13" s="8" t="s">
        <v>354</v>
      </c>
      <c r="F13" s="8" t="s">
        <v>934</v>
      </c>
      <c r="G13" s="8" t="s">
        <v>371</v>
      </c>
      <c r="H13" s="8" t="s">
        <v>935</v>
      </c>
      <c r="I13" s="9"/>
      <c r="J13" s="8" t="s">
        <v>511</v>
      </c>
      <c r="K13" s="8" t="s">
        <v>256</v>
      </c>
    </row>
    <row r="14" customFormat="false" ht="23.85" hidden="false" customHeight="false" outlineLevel="0" collapsed="false">
      <c r="A14" s="8" t="s">
        <v>936</v>
      </c>
      <c r="B14" s="8" t="s">
        <v>937</v>
      </c>
      <c r="C14" s="8" t="s">
        <v>938</v>
      </c>
      <c r="D14" s="8" t="s">
        <v>939</v>
      </c>
      <c r="E14" s="8" t="s">
        <v>908</v>
      </c>
      <c r="F14" s="8" t="s">
        <v>940</v>
      </c>
      <c r="G14" s="8" t="s">
        <v>520</v>
      </c>
      <c r="H14" s="8" t="s">
        <v>910</v>
      </c>
      <c r="I14" s="9"/>
      <c r="J14" s="8" t="s">
        <v>363</v>
      </c>
      <c r="K14" s="8"/>
    </row>
  </sheetData>
  <mergeCells count="3">
    <mergeCell ref="A1:K1"/>
    <mergeCell ref="A2:K2"/>
    <mergeCell ref="A3:K3"/>
  </mergeCells>
  <conditionalFormatting sqref="J5:J100">
    <cfRule type="expression" priority="2" aboveAverage="0" equalAverage="0" bottom="0" percent="0" rank="0" text="" dxfId="0">
      <formula>$J5="Signed"</formula>
    </cfRule>
    <cfRule type="expression" priority="3" aboveAverage="0" equalAverage="0" bottom="0" percent="0" rank="0" text="" dxfId="1">
      <formula>$J5="In Review"</formula>
    </cfRule>
    <cfRule type="expression" priority="4" aboveAverage="0" equalAverage="0" bottom="0" percent="0" rank="0" text="" dxfId="2">
      <formula>$J5="Draft"</formula>
    </cfRule>
  </conditionalFormatting>
  <dataValidations count="2">
    <dataValidation allowBlank="true" errorStyle="stop" operator="between" showDropDown="false" showErrorMessage="false" showInputMessage="false" sqref="C5:C100" type="list">
      <formula1>"Inbound,Outbound,Bidirectional,Inbound (event stream),Outbound (dispatch) + Inbound (status),Outbound (lookup) + batch (impact calc),Bidirectional (asset sync),Outbound (notifications),Outbound (outage data),Outbound (secret fetch),Outbound (log forward)"</formula1>
      <formula2>0</formula2>
    </dataValidation>
    <dataValidation allowBlank="true" errorStyle="stop" operator="between" showDropDown="false" showErrorMessage="false" showInputMessage="false" sqref="J5:J100" type="list">
      <formula1>"Not Started,Draft,In Review,Signed,Superseded"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11" min="9" style="0" width="14"/>
    <col collapsed="false" customWidth="true" hidden="false" outlineLevel="0" max="12" min="12" style="0" width="22"/>
  </cols>
  <sheetData>
    <row r="1" customFormat="false" ht="24" hidden="false" customHeight="true" outlineLevel="0" collapsed="false">
      <c r="A1" s="5" t="s">
        <v>941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942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 t="s">
        <v>943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31.5" hidden="false" customHeight="true" outlineLevel="0" collapsed="false">
      <c r="A4" s="7" t="s">
        <v>944</v>
      </c>
      <c r="B4" s="7" t="s">
        <v>945</v>
      </c>
      <c r="C4" s="7" t="s">
        <v>946</v>
      </c>
      <c r="D4" s="7" t="s">
        <v>947</v>
      </c>
      <c r="E4" s="7" t="s">
        <v>948</v>
      </c>
      <c r="F4" s="7" t="s">
        <v>949</v>
      </c>
      <c r="G4" s="7" t="s">
        <v>950</v>
      </c>
      <c r="H4" s="7" t="s">
        <v>951</v>
      </c>
      <c r="I4" s="7" t="s">
        <v>952</v>
      </c>
      <c r="J4" s="7" t="s">
        <v>953</v>
      </c>
      <c r="K4" s="7" t="s">
        <v>49</v>
      </c>
      <c r="L4" s="7" t="s">
        <v>199</v>
      </c>
    </row>
    <row r="5" customFormat="false" ht="23.85" hidden="false" customHeight="false" outlineLevel="0" collapsed="false">
      <c r="A5" s="8" t="s">
        <v>954</v>
      </c>
      <c r="B5" s="8" t="s">
        <v>955</v>
      </c>
      <c r="C5" s="8" t="s">
        <v>956</v>
      </c>
      <c r="D5" s="8" t="s">
        <v>957</v>
      </c>
      <c r="E5" s="8" t="n">
        <v>45000</v>
      </c>
      <c r="F5" s="8" t="s">
        <v>958</v>
      </c>
      <c r="G5" s="8" t="s">
        <v>959</v>
      </c>
      <c r="H5" s="8" t="s">
        <v>960</v>
      </c>
      <c r="I5" s="8" t="n">
        <v>3</v>
      </c>
      <c r="J5" s="8" t="n">
        <v>0</v>
      </c>
      <c r="K5" s="8" t="s">
        <v>233</v>
      </c>
      <c r="L5" s="8"/>
    </row>
    <row r="6" customFormat="false" ht="23.85" hidden="false" customHeight="false" outlineLevel="0" collapsed="false">
      <c r="A6" s="8" t="s">
        <v>961</v>
      </c>
      <c r="B6" s="8" t="s">
        <v>962</v>
      </c>
      <c r="C6" s="8" t="s">
        <v>963</v>
      </c>
      <c r="D6" s="8" t="s">
        <v>964</v>
      </c>
      <c r="E6" s="8" t="n">
        <v>8500</v>
      </c>
      <c r="F6" s="8" t="s">
        <v>958</v>
      </c>
      <c r="G6" s="8" t="s">
        <v>965</v>
      </c>
      <c r="H6" s="8" t="s">
        <v>966</v>
      </c>
      <c r="I6" s="8" t="n">
        <v>3</v>
      </c>
      <c r="J6" s="8" t="n">
        <v>0</v>
      </c>
      <c r="K6" s="8" t="s">
        <v>233</v>
      </c>
      <c r="L6" s="8" t="s">
        <v>967</v>
      </c>
    </row>
    <row r="7" customFormat="false" ht="23.85" hidden="false" customHeight="false" outlineLevel="0" collapsed="false">
      <c r="A7" s="8" t="s">
        <v>968</v>
      </c>
      <c r="B7" s="8" t="s">
        <v>969</v>
      </c>
      <c r="C7" s="8" t="s">
        <v>970</v>
      </c>
      <c r="D7" s="8" t="s">
        <v>971</v>
      </c>
      <c r="E7" s="8" t="n">
        <v>1200</v>
      </c>
      <c r="F7" s="8" t="s">
        <v>958</v>
      </c>
      <c r="G7" s="8" t="s">
        <v>972</v>
      </c>
      <c r="H7" s="8" t="s">
        <v>973</v>
      </c>
      <c r="I7" s="8" t="n">
        <v>3</v>
      </c>
      <c r="J7" s="8" t="n">
        <v>0</v>
      </c>
      <c r="K7" s="8" t="s">
        <v>246</v>
      </c>
      <c r="L7" s="8"/>
    </row>
    <row r="8" customFormat="false" ht="23.85" hidden="false" customHeight="false" outlineLevel="0" collapsed="false">
      <c r="A8" s="8" t="s">
        <v>974</v>
      </c>
      <c r="B8" s="8" t="s">
        <v>975</v>
      </c>
      <c r="C8" s="8" t="s">
        <v>976</v>
      </c>
      <c r="D8" s="8" t="s">
        <v>977</v>
      </c>
      <c r="E8" s="8" t="n">
        <v>3400</v>
      </c>
      <c r="F8" s="8" t="s">
        <v>958</v>
      </c>
      <c r="G8" s="8" t="s">
        <v>972</v>
      </c>
      <c r="H8" s="8" t="s">
        <v>973</v>
      </c>
      <c r="I8" s="8" t="n">
        <v>3</v>
      </c>
      <c r="J8" s="8" t="n">
        <v>0</v>
      </c>
      <c r="K8" s="8" t="s">
        <v>246</v>
      </c>
      <c r="L8" s="8"/>
    </row>
    <row r="9" customFormat="false" ht="23.85" hidden="false" customHeight="false" outlineLevel="0" collapsed="false">
      <c r="A9" s="8" t="s">
        <v>978</v>
      </c>
      <c r="B9" s="8" t="s">
        <v>979</v>
      </c>
      <c r="C9" s="8" t="s">
        <v>980</v>
      </c>
      <c r="D9" s="8" t="s">
        <v>981</v>
      </c>
      <c r="E9" s="8" t="n">
        <v>800</v>
      </c>
      <c r="F9" s="8" t="s">
        <v>958</v>
      </c>
      <c r="G9" s="8" t="s">
        <v>972</v>
      </c>
      <c r="H9" s="8" t="s">
        <v>973</v>
      </c>
      <c r="I9" s="8" t="n">
        <v>3</v>
      </c>
      <c r="J9" s="8" t="n">
        <v>0</v>
      </c>
      <c r="K9" s="8" t="s">
        <v>246</v>
      </c>
      <c r="L9" s="8"/>
    </row>
    <row r="10" customFormat="false" ht="23.85" hidden="false" customHeight="false" outlineLevel="0" collapsed="false">
      <c r="A10" s="8" t="s">
        <v>982</v>
      </c>
      <c r="B10" s="8" t="s">
        <v>983</v>
      </c>
      <c r="C10" s="8" t="s">
        <v>984</v>
      </c>
      <c r="D10" s="8" t="s">
        <v>985</v>
      </c>
      <c r="E10" s="8" t="n">
        <v>2800000</v>
      </c>
      <c r="F10" s="8" t="s">
        <v>986</v>
      </c>
      <c r="G10" s="8" t="s">
        <v>987</v>
      </c>
      <c r="H10" s="8" t="s">
        <v>988</v>
      </c>
      <c r="I10" s="8" t="n">
        <v>3</v>
      </c>
      <c r="J10" s="8" t="n">
        <v>0</v>
      </c>
      <c r="K10" s="8" t="s">
        <v>233</v>
      </c>
      <c r="L10" s="8" t="s">
        <v>989</v>
      </c>
    </row>
    <row r="11" customFormat="false" ht="23.85" hidden="false" customHeight="false" outlineLevel="0" collapsed="false">
      <c r="A11" s="8" t="s">
        <v>990</v>
      </c>
      <c r="B11" s="8" t="s">
        <v>991</v>
      </c>
      <c r="C11" s="8" t="s">
        <v>992</v>
      </c>
      <c r="D11" s="8" t="s">
        <v>993</v>
      </c>
      <c r="E11" s="8" t="n">
        <v>1250000</v>
      </c>
      <c r="F11" s="8" t="s">
        <v>994</v>
      </c>
      <c r="G11" s="8" t="s">
        <v>995</v>
      </c>
      <c r="H11" s="8" t="s">
        <v>996</v>
      </c>
      <c r="I11" s="8" t="n">
        <v>3</v>
      </c>
      <c r="J11" s="8" t="n">
        <v>0</v>
      </c>
      <c r="K11" s="8" t="s">
        <v>246</v>
      </c>
      <c r="L11" s="8" t="s">
        <v>997</v>
      </c>
    </row>
    <row r="12" customFormat="false" ht="23.85" hidden="false" customHeight="false" outlineLevel="0" collapsed="false">
      <c r="A12" s="8" t="s">
        <v>998</v>
      </c>
      <c r="B12" s="8" t="s">
        <v>999</v>
      </c>
      <c r="C12" s="8" t="s">
        <v>1000</v>
      </c>
      <c r="D12" s="8" t="s">
        <v>1001</v>
      </c>
      <c r="E12" s="8" t="n">
        <v>180000</v>
      </c>
      <c r="F12" s="8" t="s">
        <v>1002</v>
      </c>
      <c r="G12" s="8" t="s">
        <v>995</v>
      </c>
      <c r="H12" s="8" t="s">
        <v>996</v>
      </c>
      <c r="I12" s="8" t="n">
        <v>3</v>
      </c>
      <c r="J12" s="8" t="n">
        <v>0</v>
      </c>
      <c r="K12" s="8" t="s">
        <v>246</v>
      </c>
      <c r="L12" s="8"/>
    </row>
    <row r="13" customFormat="false" ht="15" hidden="false" customHeight="false" outlineLevel="0" collapsed="false">
      <c r="A13" s="8" t="s">
        <v>1003</v>
      </c>
      <c r="B13" s="8" t="s">
        <v>1004</v>
      </c>
      <c r="C13" s="8" t="s">
        <v>1005</v>
      </c>
      <c r="D13" s="8" t="s">
        <v>1006</v>
      </c>
      <c r="E13" s="8" t="n">
        <v>120000</v>
      </c>
      <c r="F13" s="8" t="s">
        <v>1007</v>
      </c>
      <c r="G13" s="8" t="s">
        <v>965</v>
      </c>
      <c r="H13" s="8" t="s">
        <v>996</v>
      </c>
      <c r="I13" s="8" t="n">
        <v>3</v>
      </c>
      <c r="J13" s="8" t="n">
        <v>0</v>
      </c>
      <c r="K13" s="8" t="s">
        <v>246</v>
      </c>
      <c r="L13" s="8"/>
    </row>
    <row r="14" customFormat="false" ht="23.85" hidden="false" customHeight="false" outlineLevel="0" collapsed="false">
      <c r="A14" s="8" t="s">
        <v>1008</v>
      </c>
      <c r="B14" s="8" t="s">
        <v>1009</v>
      </c>
      <c r="C14" s="8" t="s">
        <v>1010</v>
      </c>
      <c r="D14" s="8" t="s">
        <v>1011</v>
      </c>
      <c r="E14" s="8" t="n">
        <v>420</v>
      </c>
      <c r="F14" s="8" t="s">
        <v>1012</v>
      </c>
      <c r="G14" s="8" t="s">
        <v>1013</v>
      </c>
      <c r="H14" s="8" t="s">
        <v>1014</v>
      </c>
      <c r="I14" s="8" t="n">
        <v>2</v>
      </c>
      <c r="J14" s="8" t="n">
        <v>0</v>
      </c>
      <c r="K14" s="8" t="s">
        <v>233</v>
      </c>
      <c r="L14" s="8"/>
    </row>
    <row r="15" customFormat="false" ht="23.85" hidden="false" customHeight="false" outlineLevel="0" collapsed="false">
      <c r="A15" s="8" t="s">
        <v>1015</v>
      </c>
      <c r="B15" s="8" t="s">
        <v>1016</v>
      </c>
      <c r="C15" s="8" t="s">
        <v>1017</v>
      </c>
      <c r="D15" s="8" t="s">
        <v>1018</v>
      </c>
      <c r="E15" s="8" t="n">
        <v>18000000</v>
      </c>
      <c r="F15" s="8" t="s">
        <v>1019</v>
      </c>
      <c r="G15" s="8" t="s">
        <v>965</v>
      </c>
      <c r="H15" s="8" t="s">
        <v>1020</v>
      </c>
      <c r="I15" s="8" t="n">
        <v>3</v>
      </c>
      <c r="J15" s="8" t="n">
        <v>0</v>
      </c>
      <c r="K15" s="8" t="s">
        <v>246</v>
      </c>
      <c r="L15" s="8" t="s">
        <v>1021</v>
      </c>
    </row>
    <row r="16" customFormat="false" ht="23.85" hidden="false" customHeight="false" outlineLevel="0" collapsed="false">
      <c r="A16" s="8" t="s">
        <v>1022</v>
      </c>
      <c r="B16" s="8" t="s">
        <v>1023</v>
      </c>
      <c r="C16" s="8" t="s">
        <v>1024</v>
      </c>
      <c r="D16" s="8" t="s">
        <v>1025</v>
      </c>
      <c r="E16" s="8" t="n">
        <v>850</v>
      </c>
      <c r="F16" s="8" t="s">
        <v>1026</v>
      </c>
      <c r="G16" s="8" t="s">
        <v>965</v>
      </c>
      <c r="H16" s="8" t="s">
        <v>1027</v>
      </c>
      <c r="I16" s="8" t="n">
        <v>2</v>
      </c>
      <c r="J16" s="8" t="n">
        <v>0</v>
      </c>
      <c r="K16" s="8" t="s">
        <v>233</v>
      </c>
      <c r="L16" s="8" t="s">
        <v>1028</v>
      </c>
    </row>
    <row r="17" customFormat="false" ht="23.85" hidden="false" customHeight="false" outlineLevel="0" collapsed="false">
      <c r="A17" s="8" t="s">
        <v>1029</v>
      </c>
      <c r="B17" s="8" t="s">
        <v>1030</v>
      </c>
      <c r="C17" s="8" t="s">
        <v>1031</v>
      </c>
      <c r="D17" s="8" t="s">
        <v>1032</v>
      </c>
      <c r="E17" s="8" t="n">
        <v>15000</v>
      </c>
      <c r="F17" s="8" t="s">
        <v>1033</v>
      </c>
      <c r="G17" s="8" t="s">
        <v>965</v>
      </c>
      <c r="H17" s="8" t="s">
        <v>1034</v>
      </c>
      <c r="I17" s="8" t="n">
        <v>2</v>
      </c>
      <c r="J17" s="8" t="n">
        <v>0</v>
      </c>
      <c r="K17" s="8" t="s">
        <v>233</v>
      </c>
      <c r="L17" s="8"/>
    </row>
    <row r="18" customFormat="false" ht="23.85" hidden="false" customHeight="false" outlineLevel="0" collapsed="false">
      <c r="A18" s="8" t="s">
        <v>1035</v>
      </c>
      <c r="B18" s="8" t="s">
        <v>1036</v>
      </c>
      <c r="C18" s="8" t="s">
        <v>1037</v>
      </c>
      <c r="D18" s="8" t="s">
        <v>1038</v>
      </c>
      <c r="E18" s="8" t="n">
        <v>1500</v>
      </c>
      <c r="F18" s="8" t="s">
        <v>1039</v>
      </c>
      <c r="G18" s="8" t="s">
        <v>972</v>
      </c>
      <c r="H18" s="8" t="s">
        <v>1040</v>
      </c>
      <c r="I18" s="8" t="n">
        <v>5</v>
      </c>
      <c r="J18" s="8" t="n">
        <v>0</v>
      </c>
      <c r="K18" s="8" t="s">
        <v>233</v>
      </c>
      <c r="L18" s="8" t="s">
        <v>1041</v>
      </c>
    </row>
    <row r="19" customFormat="false" ht="23.85" hidden="false" customHeight="false" outlineLevel="0" collapsed="false">
      <c r="A19" s="8" t="s">
        <v>1042</v>
      </c>
      <c r="B19" s="8" t="s">
        <v>1043</v>
      </c>
      <c r="C19" s="8" t="s">
        <v>1044</v>
      </c>
      <c r="D19" s="8" t="s">
        <v>1045</v>
      </c>
      <c r="E19" s="8" t="n">
        <v>250</v>
      </c>
      <c r="F19" s="8" t="s">
        <v>1046</v>
      </c>
      <c r="G19" s="8" t="s">
        <v>972</v>
      </c>
      <c r="H19" s="8" t="s">
        <v>1040</v>
      </c>
      <c r="I19" s="8" t="n">
        <v>5</v>
      </c>
      <c r="J19" s="8" t="n">
        <v>0</v>
      </c>
      <c r="K19" s="8" t="s">
        <v>233</v>
      </c>
      <c r="L19" s="8" t="s">
        <v>1047</v>
      </c>
    </row>
  </sheetData>
  <mergeCells count="3">
    <mergeCell ref="A1:L1"/>
    <mergeCell ref="A2:L2"/>
    <mergeCell ref="A3:L3"/>
  </mergeCells>
  <conditionalFormatting sqref="K5:K100">
    <cfRule type="expression" priority="2" aboveAverage="0" equalAverage="0" bottom="0" percent="0" rank="0" text="" dxfId="0">
      <formula>OR($K5="Migrated",$K5="Reconciled")</formula>
    </cfRule>
    <cfRule type="expression" priority="3" aboveAverage="0" equalAverage="0" bottom="0" percent="0" rank="0" text="" dxfId="1">
      <formula>$K5="In Rehearsal"</formula>
    </cfRule>
  </conditionalFormatting>
  <conditionalFormatting sqref="J5:J100">
    <cfRule type="expression" priority="4" aboveAverage="0" equalAverage="0" bottom="0" percent="0" rank="0" text="" dxfId="0">
      <formula>AND(ISNUMBER($J5),ISNUMBER($I5),$J5&gt;=$I5)</formula>
    </cfRule>
  </conditionalFormatting>
  <dataValidations count="2">
    <dataValidation allowBlank="true" errorStyle="stop" operator="between" showDropDown="false" showErrorMessage="false" showInputMessage="false" sqref="F5:F100" type="list">
      <formula1>"One-time ETL,One-time ETL + daily delta,Phased ELT; preserve timestamps,Phased by year; newest first,Phased by year,Phased,One-time + future manual sync,One-time + review,One-time sync + future SSO,Trickle sync during parallel run,Trickle sync"</formula1>
      <formula2>0</formula2>
    </dataValidation>
    <dataValidation allowBlank="true" errorStyle="stop" operator="between" showDropDown="false" showErrorMessage="false" showInputMessage="false" sqref="K5:K100" type="list">
      <formula1>"Backlog,Design,Ready,In Rehearsal,Cutover Ready,Migrated,Reconciled"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8"/>
    <col collapsed="false" customWidth="true" hidden="false" outlineLevel="0" max="8" min="8" style="0" width="40"/>
    <col collapsed="false" customWidth="true" hidden="false" outlineLevel="0" max="9" min="9" style="0" width="28"/>
    <col collapsed="false" customWidth="true" hidden="false" outlineLevel="0" max="11" min="10" style="0" width="18"/>
  </cols>
  <sheetData>
    <row r="1" customFormat="false" ht="24" hidden="false" customHeight="true" outlineLevel="0" collapsed="false">
      <c r="A1" s="5" t="s">
        <v>1048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1049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15" hidden="false" customHeight="false" outlineLevel="0" collapsed="false">
      <c r="A3" s="6" t="s">
        <v>1050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31.5" hidden="false" customHeight="true" outlineLevel="0" collapsed="false">
      <c r="A4" s="7" t="s">
        <v>1051</v>
      </c>
      <c r="B4" s="7" t="s">
        <v>368</v>
      </c>
      <c r="C4" s="7" t="s">
        <v>1052</v>
      </c>
      <c r="D4" s="7" t="s">
        <v>1053</v>
      </c>
      <c r="E4" s="7" t="s">
        <v>1054</v>
      </c>
      <c r="F4" s="7" t="s">
        <v>1055</v>
      </c>
      <c r="G4" s="7" t="s">
        <v>1056</v>
      </c>
      <c r="H4" s="7" t="s">
        <v>1057</v>
      </c>
      <c r="I4" s="7" t="s">
        <v>1058</v>
      </c>
      <c r="J4" s="7" t="s">
        <v>1059</v>
      </c>
      <c r="K4" s="7" t="s">
        <v>199</v>
      </c>
    </row>
    <row r="5" customFormat="false" ht="35.05" hidden="false" customHeight="false" outlineLevel="0" collapsed="false">
      <c r="A5" s="8" t="s">
        <v>1060</v>
      </c>
      <c r="B5" s="8" t="s">
        <v>790</v>
      </c>
      <c r="C5" s="8" t="s">
        <v>1061</v>
      </c>
      <c r="D5" s="8" t="s">
        <v>1062</v>
      </c>
      <c r="E5" s="8" t="s">
        <v>94</v>
      </c>
      <c r="F5" s="8" t="s">
        <v>94</v>
      </c>
      <c r="G5" s="8" t="s">
        <v>1063</v>
      </c>
      <c r="H5" s="8" t="s">
        <v>1064</v>
      </c>
      <c r="I5" s="8" t="s">
        <v>1065</v>
      </c>
      <c r="J5" s="8" t="s">
        <v>1066</v>
      </c>
      <c r="K5" s="8" t="s">
        <v>1067</v>
      </c>
    </row>
    <row r="6" customFormat="false" ht="23.85" hidden="false" customHeight="false" outlineLevel="0" collapsed="false">
      <c r="A6" s="8" t="s">
        <v>1068</v>
      </c>
      <c r="B6" s="8" t="s">
        <v>1069</v>
      </c>
      <c r="C6" s="8" t="s">
        <v>1061</v>
      </c>
      <c r="D6" s="8" t="s">
        <v>1062</v>
      </c>
      <c r="E6" s="8" t="s">
        <v>94</v>
      </c>
      <c r="F6" s="8" t="s">
        <v>94</v>
      </c>
      <c r="G6" s="8" t="s">
        <v>1070</v>
      </c>
      <c r="H6" s="8" t="s">
        <v>1071</v>
      </c>
      <c r="I6" s="8" t="s">
        <v>1072</v>
      </c>
      <c r="J6" s="8" t="s">
        <v>1066</v>
      </c>
      <c r="K6" s="8"/>
    </row>
    <row r="7" customFormat="false" ht="23.85" hidden="false" customHeight="false" outlineLevel="0" collapsed="false">
      <c r="A7" s="8" t="s">
        <v>1073</v>
      </c>
      <c r="B7" s="8" t="s">
        <v>1074</v>
      </c>
      <c r="C7" s="8" t="s">
        <v>67</v>
      </c>
      <c r="D7" s="8" t="s">
        <v>908</v>
      </c>
      <c r="E7" s="8" t="s">
        <v>67</v>
      </c>
      <c r="F7" s="8" t="s">
        <v>94</v>
      </c>
      <c r="G7" s="8" t="s">
        <v>594</v>
      </c>
      <c r="H7" s="8" t="s">
        <v>1075</v>
      </c>
      <c r="I7" s="8" t="s">
        <v>1076</v>
      </c>
      <c r="J7" s="8" t="s">
        <v>1066</v>
      </c>
      <c r="K7" s="8" t="s">
        <v>1077</v>
      </c>
    </row>
    <row r="8" customFormat="false" ht="35.05" hidden="false" customHeight="false" outlineLevel="0" collapsed="false">
      <c r="A8" s="8" t="s">
        <v>1078</v>
      </c>
      <c r="B8" s="8" t="s">
        <v>1079</v>
      </c>
      <c r="C8" s="8" t="s">
        <v>94</v>
      </c>
      <c r="D8" s="8" t="s">
        <v>1062</v>
      </c>
      <c r="E8" s="8" t="s">
        <v>94</v>
      </c>
      <c r="F8" s="8" t="s">
        <v>94</v>
      </c>
      <c r="G8" s="8" t="s">
        <v>1080</v>
      </c>
      <c r="H8" s="8" t="s">
        <v>1081</v>
      </c>
      <c r="I8" s="8" t="s">
        <v>1082</v>
      </c>
      <c r="J8" s="8" t="s">
        <v>1066</v>
      </c>
      <c r="K8" s="8" t="s">
        <v>1083</v>
      </c>
    </row>
    <row r="9" customFormat="false" ht="35.05" hidden="false" customHeight="false" outlineLevel="0" collapsed="false">
      <c r="A9" s="8" t="s">
        <v>1084</v>
      </c>
      <c r="B9" s="8" t="s">
        <v>1085</v>
      </c>
      <c r="C9" s="8" t="s">
        <v>94</v>
      </c>
      <c r="D9" s="8" t="s">
        <v>1062</v>
      </c>
      <c r="E9" s="8" t="s">
        <v>94</v>
      </c>
      <c r="F9" s="8" t="s">
        <v>94</v>
      </c>
      <c r="G9" s="8" t="s">
        <v>1080</v>
      </c>
      <c r="H9" s="8" t="s">
        <v>1072</v>
      </c>
      <c r="I9" s="8" t="s">
        <v>1082</v>
      </c>
      <c r="J9" s="8" t="s">
        <v>1066</v>
      </c>
      <c r="K9" s="8" t="s">
        <v>1083</v>
      </c>
    </row>
    <row r="10" customFormat="false" ht="35.05" hidden="false" customHeight="false" outlineLevel="0" collapsed="false">
      <c r="A10" s="8" t="s">
        <v>1086</v>
      </c>
      <c r="B10" s="8" t="s">
        <v>1087</v>
      </c>
      <c r="C10" s="8" t="s">
        <v>94</v>
      </c>
      <c r="D10" s="8" t="s">
        <v>1062</v>
      </c>
      <c r="E10" s="8" t="s">
        <v>94</v>
      </c>
      <c r="F10" s="8" t="s">
        <v>94</v>
      </c>
      <c r="G10" s="8" t="s">
        <v>1080</v>
      </c>
      <c r="H10" s="8" t="s">
        <v>1072</v>
      </c>
      <c r="I10" s="8" t="s">
        <v>1082</v>
      </c>
      <c r="J10" s="8" t="s">
        <v>1066</v>
      </c>
      <c r="K10" s="8"/>
    </row>
    <row r="11" customFormat="false" ht="35.05" hidden="false" customHeight="false" outlineLevel="0" collapsed="false">
      <c r="A11" s="8" t="s">
        <v>1088</v>
      </c>
      <c r="B11" s="8" t="s">
        <v>1089</v>
      </c>
      <c r="C11" s="8" t="s">
        <v>67</v>
      </c>
      <c r="D11" s="8" t="s">
        <v>908</v>
      </c>
      <c r="E11" s="8" t="s">
        <v>67</v>
      </c>
      <c r="F11" s="8" t="s">
        <v>94</v>
      </c>
      <c r="G11" s="8" t="s">
        <v>594</v>
      </c>
      <c r="H11" s="8" t="s">
        <v>1090</v>
      </c>
      <c r="I11" s="8" t="s">
        <v>1091</v>
      </c>
      <c r="J11" s="8" t="s">
        <v>1066</v>
      </c>
      <c r="K11" s="8" t="s">
        <v>1092</v>
      </c>
    </row>
    <row r="12" customFormat="false" ht="23.85" hidden="false" customHeight="false" outlineLevel="0" collapsed="false">
      <c r="A12" s="8" t="s">
        <v>1093</v>
      </c>
      <c r="B12" s="8" t="s">
        <v>830</v>
      </c>
      <c r="C12" s="8" t="s">
        <v>1061</v>
      </c>
      <c r="D12" s="8" t="s">
        <v>1062</v>
      </c>
      <c r="E12" s="8" t="s">
        <v>94</v>
      </c>
      <c r="F12" s="8" t="s">
        <v>94</v>
      </c>
      <c r="G12" s="8" t="s">
        <v>1094</v>
      </c>
      <c r="H12" s="8" t="s">
        <v>1095</v>
      </c>
      <c r="I12" s="8" t="s">
        <v>1096</v>
      </c>
      <c r="J12" s="8" t="s">
        <v>1066</v>
      </c>
      <c r="K12" s="8"/>
    </row>
    <row r="13" customFormat="false" ht="23.85" hidden="false" customHeight="false" outlineLevel="0" collapsed="false">
      <c r="A13" s="8" t="s">
        <v>1097</v>
      </c>
      <c r="B13" s="8" t="s">
        <v>1098</v>
      </c>
      <c r="C13" s="8" t="s">
        <v>1061</v>
      </c>
      <c r="D13" s="8" t="s">
        <v>1062</v>
      </c>
      <c r="E13" s="8" t="s">
        <v>94</v>
      </c>
      <c r="F13" s="8" t="s">
        <v>94</v>
      </c>
      <c r="G13" s="8" t="s">
        <v>1070</v>
      </c>
      <c r="H13" s="8" t="s">
        <v>1099</v>
      </c>
      <c r="I13" s="8" t="s">
        <v>1100</v>
      </c>
      <c r="J13" s="8" t="s">
        <v>1066</v>
      </c>
      <c r="K13" s="8"/>
    </row>
    <row r="14" customFormat="false" ht="23.85" hidden="false" customHeight="false" outlineLevel="0" collapsed="false">
      <c r="A14" s="8" t="s">
        <v>1101</v>
      </c>
      <c r="B14" s="8" t="s">
        <v>1102</v>
      </c>
      <c r="C14" s="8" t="s">
        <v>1061</v>
      </c>
      <c r="D14" s="8" t="s">
        <v>1062</v>
      </c>
      <c r="E14" s="8" t="s">
        <v>94</v>
      </c>
      <c r="F14" s="8" t="s">
        <v>94</v>
      </c>
      <c r="G14" s="8" t="s">
        <v>1070</v>
      </c>
      <c r="H14" s="8" t="s">
        <v>1103</v>
      </c>
      <c r="I14" s="8" t="s">
        <v>1104</v>
      </c>
      <c r="J14" s="8" t="s">
        <v>1066</v>
      </c>
      <c r="K14" s="8"/>
    </row>
    <row r="15" customFormat="false" ht="23.85" hidden="false" customHeight="false" outlineLevel="0" collapsed="false">
      <c r="A15" s="8" t="s">
        <v>1105</v>
      </c>
      <c r="B15" s="8" t="s">
        <v>1106</v>
      </c>
      <c r="C15" s="8" t="s">
        <v>1061</v>
      </c>
      <c r="D15" s="8" t="s">
        <v>1062</v>
      </c>
      <c r="E15" s="8" t="s">
        <v>94</v>
      </c>
      <c r="F15" s="8" t="s">
        <v>94</v>
      </c>
      <c r="G15" s="8" t="s">
        <v>1094</v>
      </c>
      <c r="H15" s="8" t="s">
        <v>1107</v>
      </c>
      <c r="I15" s="8" t="s">
        <v>1108</v>
      </c>
      <c r="J15" s="8" t="s">
        <v>1066</v>
      </c>
      <c r="K15" s="8"/>
    </row>
    <row r="16" customFormat="false" ht="23.85" hidden="false" customHeight="false" outlineLevel="0" collapsed="false">
      <c r="A16" s="8" t="s">
        <v>1109</v>
      </c>
      <c r="B16" s="8" t="s">
        <v>837</v>
      </c>
      <c r="C16" s="8" t="s">
        <v>67</v>
      </c>
      <c r="D16" s="8" t="s">
        <v>908</v>
      </c>
      <c r="E16" s="8" t="s">
        <v>67</v>
      </c>
      <c r="F16" s="8" t="s">
        <v>94</v>
      </c>
      <c r="G16" s="8" t="s">
        <v>594</v>
      </c>
      <c r="H16" s="8" t="s">
        <v>1110</v>
      </c>
      <c r="I16" s="8" t="s">
        <v>1111</v>
      </c>
      <c r="J16" s="8" t="s">
        <v>1066</v>
      </c>
      <c r="K16" s="8" t="s">
        <v>1112</v>
      </c>
    </row>
    <row r="17" customFormat="false" ht="23.85" hidden="false" customHeight="false" outlineLevel="0" collapsed="false">
      <c r="A17" s="8" t="s">
        <v>1113</v>
      </c>
      <c r="B17" s="8" t="s">
        <v>1114</v>
      </c>
      <c r="C17" s="8" t="s">
        <v>1061</v>
      </c>
      <c r="D17" s="8" t="s">
        <v>1062</v>
      </c>
      <c r="E17" s="8" t="s">
        <v>94</v>
      </c>
      <c r="F17" s="8" t="s">
        <v>94</v>
      </c>
      <c r="G17" s="8" t="s">
        <v>1115</v>
      </c>
      <c r="H17" s="8" t="s">
        <v>1116</v>
      </c>
      <c r="I17" s="8" t="s">
        <v>1117</v>
      </c>
      <c r="J17" s="8" t="s">
        <v>1066</v>
      </c>
      <c r="K17" s="8" t="s">
        <v>1118</v>
      </c>
    </row>
    <row r="18" customFormat="false" ht="23.85" hidden="false" customHeight="false" outlineLevel="0" collapsed="false">
      <c r="A18" s="8" t="s">
        <v>1119</v>
      </c>
      <c r="B18" s="8" t="s">
        <v>1120</v>
      </c>
      <c r="C18" s="8" t="s">
        <v>67</v>
      </c>
      <c r="D18" s="8" t="s">
        <v>908</v>
      </c>
      <c r="E18" s="8" t="s">
        <v>67</v>
      </c>
      <c r="F18" s="8" t="s">
        <v>67</v>
      </c>
      <c r="G18" s="8" t="s">
        <v>594</v>
      </c>
      <c r="H18" s="8" t="s">
        <v>1121</v>
      </c>
      <c r="I18" s="8" t="s">
        <v>1122</v>
      </c>
      <c r="J18" s="8" t="s">
        <v>1066</v>
      </c>
      <c r="K18" s="8" t="s">
        <v>1123</v>
      </c>
    </row>
  </sheetData>
  <mergeCells count="3">
    <mergeCell ref="A1:K1"/>
    <mergeCell ref="A2:K2"/>
    <mergeCell ref="A3:K3"/>
  </mergeCells>
  <conditionalFormatting sqref="D5:D100">
    <cfRule type="expression" priority="2" aboveAverage="0" equalAverage="0" bottom="0" percent="0" rank="0" text="" dxfId="3">
      <formula>$D5="High"</formula>
    </cfRule>
    <cfRule type="expression" priority="3" aboveAverage="0" equalAverage="0" bottom="0" percent="0" rank="0" text="" dxfId="4">
      <formula>$D5="Medium"</formula>
    </cfRule>
    <cfRule type="expression" priority="4" aboveAverage="0" equalAverage="0" bottom="0" percent="0" rank="0" text="" dxfId="1">
      <formula>$D5="Low"</formula>
    </cfRule>
  </conditionalFormatting>
  <conditionalFormatting sqref="J5:J100">
    <cfRule type="expression" priority="5" aboveAverage="0" equalAverage="0" bottom="0" percent="0" rank="0" text="" dxfId="0">
      <formula>$J5="Signed Off"</formula>
    </cfRule>
  </conditionalFormatting>
  <dataValidations count="4">
    <dataValidation allowBlank="true" errorStyle="stop" operator="between" showDropDown="false" showErrorMessage="false" showInputMessage="false" sqref="C5:C100" type="list">
      <formula1>"Y,Y (associated),N,Under Review"</formula1>
      <formula2>0</formula2>
    </dataValidation>
    <dataValidation allowBlank="true" errorStyle="stop" operator="between" showDropDown="false" showErrorMessage="false" showInputMessage="false" sqref="D5:D100" type="list">
      <formula1>"High,Medium,Low,n/a"</formula1>
      <formula2>0</formula2>
    </dataValidation>
    <dataValidation allowBlank="true" errorStyle="stop" operator="between" showDropDown="false" showErrorMessage="false" showInputMessage="false" sqref="E5:F100" type="list">
      <formula1>"Y,N"</formula1>
      <formula2>0</formula2>
    </dataValidation>
    <dataValidation allowBlank="true" errorStyle="stop" operator="between" showDropDown="false" showErrorMessage="false" showInputMessage="false" sqref="J5:J100" type="list">
      <formula1>"Pending,Reviewed,Signed Off,Under Dispute"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4" hidden="false" customHeight="true" outlineLevel="0" collapsed="false">
      <c r="A1" s="5" t="s">
        <v>1124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1125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 t="s">
        <v>1126</v>
      </c>
      <c r="B3" s="6"/>
      <c r="C3" s="6"/>
      <c r="D3" s="6"/>
      <c r="E3" s="6"/>
      <c r="F3" s="6"/>
      <c r="G3" s="6"/>
      <c r="H3" s="6"/>
      <c r="I3" s="6"/>
    </row>
    <row r="4" customFormat="false" ht="31.5" hidden="false" customHeight="true" outlineLevel="0" collapsed="false">
      <c r="A4" s="7" t="s">
        <v>1127</v>
      </c>
      <c r="B4" s="7" t="s">
        <v>1128</v>
      </c>
      <c r="C4" s="7" t="s">
        <v>1129</v>
      </c>
      <c r="D4" s="7" t="s">
        <v>1130</v>
      </c>
      <c r="E4" s="7" t="s">
        <v>1131</v>
      </c>
      <c r="F4" s="7" t="s">
        <v>1132</v>
      </c>
      <c r="G4" s="7" t="s">
        <v>191</v>
      </c>
      <c r="H4" s="7" t="s">
        <v>49</v>
      </c>
      <c r="I4" s="7" t="s">
        <v>199</v>
      </c>
    </row>
    <row r="5" customFormat="false" ht="35.05" hidden="false" customHeight="false" outlineLevel="0" collapsed="false">
      <c r="A5" s="8" t="s">
        <v>1133</v>
      </c>
      <c r="B5" s="8" t="s">
        <v>1134</v>
      </c>
      <c r="C5" s="8" t="n">
        <v>4</v>
      </c>
      <c r="D5" s="8" t="n">
        <v>4</v>
      </c>
      <c r="E5" s="8" t="n">
        <f aca="false">C5*D5</f>
        <v>16</v>
      </c>
      <c r="F5" s="8" t="s">
        <v>1135</v>
      </c>
      <c r="G5" s="8" t="s">
        <v>379</v>
      </c>
      <c r="H5" s="8" t="s">
        <v>1136</v>
      </c>
      <c r="I5" s="8" t="s">
        <v>1137</v>
      </c>
    </row>
    <row r="6" customFormat="false" ht="23.85" hidden="false" customHeight="false" outlineLevel="0" collapsed="false">
      <c r="A6" s="8" t="s">
        <v>1138</v>
      </c>
      <c r="B6" s="8" t="s">
        <v>1139</v>
      </c>
      <c r="C6" s="8" t="n">
        <v>3</v>
      </c>
      <c r="D6" s="8" t="n">
        <v>4</v>
      </c>
      <c r="E6" s="8" t="n">
        <f aca="false">C6*D6</f>
        <v>12</v>
      </c>
      <c r="F6" s="8" t="s">
        <v>1140</v>
      </c>
      <c r="G6" s="8" t="s">
        <v>1141</v>
      </c>
      <c r="H6" s="8" t="s">
        <v>1136</v>
      </c>
      <c r="I6" s="8"/>
    </row>
    <row r="7" customFormat="false" ht="23.85" hidden="false" customHeight="false" outlineLevel="0" collapsed="false">
      <c r="A7" s="8" t="s">
        <v>1142</v>
      </c>
      <c r="B7" s="8" t="s">
        <v>1143</v>
      </c>
      <c r="C7" s="8" t="n">
        <v>3</v>
      </c>
      <c r="D7" s="8" t="n">
        <v>3</v>
      </c>
      <c r="E7" s="8" t="n">
        <f aca="false">C7*D7</f>
        <v>9</v>
      </c>
      <c r="F7" s="8" t="s">
        <v>1144</v>
      </c>
      <c r="G7" s="8" t="s">
        <v>356</v>
      </c>
      <c r="H7" s="8" t="s">
        <v>1136</v>
      </c>
      <c r="I7" s="8"/>
    </row>
    <row r="8" customFormat="false" ht="23.85" hidden="false" customHeight="false" outlineLevel="0" collapsed="false">
      <c r="A8" s="8" t="s">
        <v>1145</v>
      </c>
      <c r="B8" s="8" t="s">
        <v>1146</v>
      </c>
      <c r="C8" s="8" t="n">
        <v>2</v>
      </c>
      <c r="D8" s="8" t="n">
        <v>4</v>
      </c>
      <c r="E8" s="8" t="n">
        <f aca="false">C8*D8</f>
        <v>8</v>
      </c>
      <c r="F8" s="8" t="s">
        <v>1147</v>
      </c>
      <c r="G8" s="8" t="s">
        <v>402</v>
      </c>
      <c r="H8" s="8" t="s">
        <v>1136</v>
      </c>
      <c r="I8" s="8"/>
    </row>
    <row r="9" customFormat="false" ht="23.85" hidden="false" customHeight="false" outlineLevel="0" collapsed="false">
      <c r="A9" s="8" t="s">
        <v>1148</v>
      </c>
      <c r="B9" s="8" t="s">
        <v>1149</v>
      </c>
      <c r="C9" s="8" t="n">
        <v>3</v>
      </c>
      <c r="D9" s="8" t="n">
        <v>4</v>
      </c>
      <c r="E9" s="8" t="n">
        <f aca="false">C9*D9</f>
        <v>12</v>
      </c>
      <c r="F9" s="8" t="s">
        <v>1150</v>
      </c>
      <c r="G9" s="8" t="s">
        <v>371</v>
      </c>
      <c r="H9" s="8" t="s">
        <v>1136</v>
      </c>
      <c r="I9" s="8"/>
    </row>
    <row r="10" customFormat="false" ht="23.85" hidden="false" customHeight="false" outlineLevel="0" collapsed="false">
      <c r="A10" s="8" t="s">
        <v>1151</v>
      </c>
      <c r="B10" s="8" t="s">
        <v>1152</v>
      </c>
      <c r="C10" s="8" t="n">
        <v>3</v>
      </c>
      <c r="D10" s="8" t="n">
        <v>3</v>
      </c>
      <c r="E10" s="8" t="n">
        <f aca="false">C10*D10</f>
        <v>9</v>
      </c>
      <c r="F10" s="8" t="s">
        <v>1153</v>
      </c>
      <c r="G10" s="8" t="s">
        <v>356</v>
      </c>
      <c r="H10" s="8" t="s">
        <v>1136</v>
      </c>
      <c r="I10" s="8"/>
    </row>
    <row r="11" customFormat="false" ht="23.85" hidden="false" customHeight="false" outlineLevel="0" collapsed="false">
      <c r="A11" s="8" t="s">
        <v>1154</v>
      </c>
      <c r="B11" s="8" t="s">
        <v>1155</v>
      </c>
      <c r="C11" s="8" t="n">
        <v>3</v>
      </c>
      <c r="D11" s="8" t="n">
        <v>3</v>
      </c>
      <c r="E11" s="8" t="n">
        <f aca="false">C11*D11</f>
        <v>9</v>
      </c>
      <c r="F11" s="8" t="s">
        <v>1156</v>
      </c>
      <c r="G11" s="8" t="s">
        <v>1141</v>
      </c>
      <c r="H11" s="8" t="s">
        <v>1136</v>
      </c>
      <c r="I11" s="8"/>
    </row>
    <row r="12" customFormat="false" ht="23.85" hidden="false" customHeight="false" outlineLevel="0" collapsed="false">
      <c r="A12" s="8" t="s">
        <v>1157</v>
      </c>
      <c r="B12" s="8" t="s">
        <v>1158</v>
      </c>
      <c r="C12" s="8" t="n">
        <v>4</v>
      </c>
      <c r="D12" s="8" t="n">
        <v>3</v>
      </c>
      <c r="E12" s="8" t="n">
        <f aca="false">C12*D12</f>
        <v>12</v>
      </c>
      <c r="F12" s="8" t="s">
        <v>1159</v>
      </c>
      <c r="G12" s="8" t="s">
        <v>441</v>
      </c>
      <c r="H12" s="8" t="s">
        <v>1136</v>
      </c>
      <c r="I12" s="8"/>
    </row>
    <row r="13" customFormat="false" ht="23.85" hidden="false" customHeight="false" outlineLevel="0" collapsed="false">
      <c r="A13" s="8" t="s">
        <v>1160</v>
      </c>
      <c r="B13" s="8" t="s">
        <v>1161</v>
      </c>
      <c r="C13" s="8" t="n">
        <v>3</v>
      </c>
      <c r="D13" s="8" t="n">
        <v>4</v>
      </c>
      <c r="E13" s="8" t="n">
        <f aca="false">C13*D13</f>
        <v>12</v>
      </c>
      <c r="F13" s="8" t="s">
        <v>1162</v>
      </c>
      <c r="G13" s="8" t="s">
        <v>1141</v>
      </c>
      <c r="H13" s="8" t="s">
        <v>1136</v>
      </c>
      <c r="I13" s="8"/>
    </row>
    <row r="14" customFormat="false" ht="23.85" hidden="false" customHeight="false" outlineLevel="0" collapsed="false">
      <c r="A14" s="8" t="s">
        <v>1163</v>
      </c>
      <c r="B14" s="8" t="s">
        <v>1164</v>
      </c>
      <c r="C14" s="8" t="n">
        <v>3</v>
      </c>
      <c r="D14" s="8" t="n">
        <v>3</v>
      </c>
      <c r="E14" s="8" t="n">
        <f aca="false">C14*D14</f>
        <v>9</v>
      </c>
      <c r="F14" s="8" t="s">
        <v>1165</v>
      </c>
      <c r="G14" s="8" t="s">
        <v>1141</v>
      </c>
      <c r="H14" s="8" t="s">
        <v>1136</v>
      </c>
      <c r="I14" s="8"/>
    </row>
    <row r="15" customFormat="false" ht="23.85" hidden="false" customHeight="false" outlineLevel="0" collapsed="false">
      <c r="A15" s="8" t="s">
        <v>1166</v>
      </c>
      <c r="B15" s="8" t="s">
        <v>1167</v>
      </c>
      <c r="C15" s="8" t="n">
        <v>3</v>
      </c>
      <c r="D15" s="8" t="n">
        <v>4</v>
      </c>
      <c r="E15" s="8" t="n">
        <f aca="false">C15*D15</f>
        <v>12</v>
      </c>
      <c r="F15" s="8" t="s">
        <v>1168</v>
      </c>
      <c r="G15" s="8" t="s">
        <v>1169</v>
      </c>
      <c r="H15" s="8" t="s">
        <v>1136</v>
      </c>
      <c r="I15" s="8"/>
    </row>
    <row r="16" customFormat="false" ht="23.85" hidden="false" customHeight="false" outlineLevel="0" collapsed="false">
      <c r="A16" s="8" t="s">
        <v>1170</v>
      </c>
      <c r="B16" s="8" t="s">
        <v>1171</v>
      </c>
      <c r="C16" s="8" t="n">
        <v>2</v>
      </c>
      <c r="D16" s="8" t="n">
        <v>5</v>
      </c>
      <c r="E16" s="8" t="n">
        <f aca="false">C16*D16</f>
        <v>10</v>
      </c>
      <c r="F16" s="8" t="s">
        <v>1172</v>
      </c>
      <c r="G16" s="8" t="s">
        <v>329</v>
      </c>
      <c r="H16" s="8" t="s">
        <v>1136</v>
      </c>
      <c r="I16" s="8"/>
    </row>
  </sheetData>
  <mergeCells count="3">
    <mergeCell ref="A1:I1"/>
    <mergeCell ref="A2:I2"/>
    <mergeCell ref="A3:I3"/>
  </mergeCells>
  <conditionalFormatting sqref="E5:E200">
    <cfRule type="cellIs" priority="2" operator="greaterThanOrEqual" aboveAverage="0" equalAverage="0" bottom="0" percent="0" rank="0" text="" dxfId="3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lessThanOrEqual" aboveAverage="0" equalAverage="0" bottom="0" percent="0" rank="0" text="" dxfId="0">
      <formula>7</formula>
    </cfRule>
  </conditionalFormatting>
  <dataValidations count="2">
    <dataValidation allowBlank="true" errorStyle="stop" operator="between" showDropDown="false" showErrorMessage="false" showInputMessage="false" sqref="C5:D200" type="list">
      <formula1>"1,2,3,4,5"</formula1>
      <formula2>0</formula2>
    </dataValidation>
    <dataValidation allowBlank="true" errorStyle="stop" operator="between" showDropDown="false" showErrorMessage="false" showInputMessage="false" sqref="H5:H200" type="list">
      <formula1>"Active,Mitigated,Accepted,Closed"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2026-04-21T05:57:09Z</dcterms:created>
  <dc:creator>openpyxl</dc:creator>
  <dc:description/>
  <dc:language>en-US</dc:language>
  <cp:lastModifiedBy/>
  <dcterms:modified xsi:type="dcterms:W3CDTF">2026-04-21T05:57:10Z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