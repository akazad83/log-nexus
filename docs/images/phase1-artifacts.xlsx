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. Validation Checklist" sheetId="2" state="visible" r:id="rId4"/>
    <sheet name="2. Gap Register" sheetId="3" state="visible" r:id="rId5"/>
    <sheet name="3. Artifact Inventory" sheetId="4" state="visible" r:id="rId6"/>
    <sheet name="4. Integration Augmentation" sheetId="5" state="visible" r:id="rId7"/>
    <sheet name="5. State Machine Register" sheetId="6" state="visible" r:id="rId8"/>
    <sheet name="6. Failure Mode Catalog" sheetId="7" state="visible" r:id="rId9"/>
    <sheet name="7. Validation Workshops" sheetId="8" state="visible" r:id="rId10"/>
    <sheet name="8. Code Archaeolog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<sst xmlns="http://schemas.openxmlformats.org/spreadsheetml/2006/main" count="949" uniqueCount="631">
  <si>
    <t xml:space="preserve">Phase 1 — Discovery Validation &amp; Augmentation</t>
  </si>
  <si>
    <t xml:space="preserve">Purpose</t>
  </si>
  <si>
    <t xml:space="preserve">Close gaps in Discovery outputs before Detailed Design accelerates. Time-boxed 4-6 weeks.</t>
  </si>
  <si>
    <t xml:space="preserve">Context</t>
  </si>
  <si>
    <t xml:space="preserve">Discovery was led by a senior front-end developer as tech lead. Outputs likely uneven: strong where the internal team compensated, weaker in systems-level, backend, integration, and data dimensions.</t>
  </si>
  <si>
    <t xml:space="preserve">Led by</t>
  </si>
  <si>
    <t xml:space="preserve">Chief Architect + designated Senior Engineer Deputy. Supported by: Product Council, vendor code-archaeology resource, BAs.</t>
  </si>
  <si>
    <t xml:space="preserve">Tabs</t>
  </si>
  <si>
    <t xml:space="preserve">1. Validation Checklist</t>
  </si>
  <si>
    <t xml:space="preserve">10-category checklist. Work through systematically. Each item marked Verified / Gap / Rework.</t>
  </si>
  <si>
    <t xml:space="preserve">2. Gap Register</t>
  </si>
  <si>
    <t xml:space="preserve">Every identified gap with severity, disposition, owner, close date. Single source of truth.</t>
  </si>
  <si>
    <t xml:space="preserve">3. Artifact Inventory</t>
  </si>
  <si>
    <t xml:space="preserve">Every Discovery artifact being validated, with reviewer and status.</t>
  </si>
  <si>
    <t xml:space="preserve">4. Integration Augmentation</t>
  </si>
  <si>
    <t xml:space="preserve">Per-integration deep-dive using the full 16-point specification.</t>
  </si>
  <si>
    <t xml:space="preserve">5. State Machine Register</t>
  </si>
  <si>
    <t xml:space="preserve">Workflow objects needing formal state machine specification.</t>
  </si>
  <si>
    <t xml:space="preserve">6. Failure Mode Catalog</t>
  </si>
  <si>
    <t xml:space="preserve">FMEA-style catalog of failure scenarios and current design adequacy.</t>
  </si>
  <si>
    <t xml:space="preserve">7. Validation Workshops</t>
  </si>
  <si>
    <t xml:space="preserve">Schedule, attendees, outputs for the validation workshops.</t>
  </si>
  <si>
    <t xml:space="preserve">8. Vendor Code Archaeology</t>
  </si>
  <si>
    <t xml:space="preserve">Business rule extraction batches, status, and completeness.</t>
  </si>
  <si>
    <t xml:space="preserve">Discipline</t>
  </si>
  <si>
    <t xml:space="preserve">Time-box</t>
  </si>
  <si>
    <t xml:space="preserve">4-6 weeks maximum. Extension requires executive approval.</t>
  </si>
  <si>
    <t xml:space="preserve">Scope</t>
  </si>
  <si>
    <t xml:space="preserve">Validate, don't redo. Do not re-open behavioral decisions Discovery made; do verify system-level grounding.</t>
  </si>
  <si>
    <t xml:space="preserve">Parking</t>
  </si>
  <si>
    <t xml:space="preserve">Gaps that need weeks of analysis get parked in Design backlog, not addressed in the validation window.</t>
  </si>
  <si>
    <t xml:space="preserve">Acceptance</t>
  </si>
  <si>
    <t xml:space="preserve">Chief Architect + Senior Eng deputy + Program Manager sign baseline for Design entry.</t>
  </si>
  <si>
    <t xml:space="preserve">Entry criteria</t>
  </si>
  <si>
    <t xml:space="preserve">Chief Architect onboarded, Senior Eng deputy designated, all Discovery artifacts gathered.</t>
  </si>
  <si>
    <t xml:space="preserve">Exit criteria</t>
  </si>
  <si>
    <t xml:space="preserve">Gap Register all items dispositioned; Augmented artifacts published; Baseline memo signed.</t>
  </si>
  <si>
    <t xml:space="preserve">Validation Checklist — 10 Categories</t>
  </si>
  <si>
    <t xml:space="preserve">Work through systematically. Mark each item Verified / Gap / Rework. Any Gap or Rework creates a row in Gap Register.</t>
  </si>
  <si>
    <t xml:space="preserve">Do not soften assessments. Honest categorization now saves rework later.</t>
  </si>
  <si>
    <t xml:space="preserve">#</t>
  </si>
  <si>
    <t xml:space="preserve">Category</t>
  </si>
  <si>
    <t xml:space="preserve">Checklist Item</t>
  </si>
  <si>
    <t xml:space="preserve">Owner</t>
  </si>
  <si>
    <t xml:space="preserve">Status</t>
  </si>
  <si>
    <t xml:space="preserve">Gap ID (if any)</t>
  </si>
  <si>
    <t xml:space="preserve">Notes</t>
  </si>
  <si>
    <t xml:space="preserve">Feature Catalog</t>
  </si>
  <si>
    <t xml:space="preserve">Every feature has a clear owner (operator persona or system)</t>
  </si>
  <si>
    <t xml:space="preserve">Every feature has priority and MVP/non-MVP classification</t>
  </si>
  <si>
    <t xml:space="preserve">Taxonomy covers operational workflow, supervisory, reporting, admin, integration, observability, security/audit, training</t>
  </si>
  <si>
    <t xml:space="preserve">Cross-cutting capabilities represented (audit logging, notifications, search, export, batch operations)</t>
  </si>
  <si>
    <t xml:space="preserve">Scheduled maintenance features distinct from reactive features</t>
  </si>
  <si>
    <t xml:space="preserve">Steam, Di-Electric, RTU/Telephonic features distinct (not lumped into 'other')</t>
  </si>
  <si>
    <t xml:space="preserve">Features sized realistically — any 'feature' that is actually 30 sub-features flagged</t>
  </si>
  <si>
    <t xml:space="preserve">Functional Requirements</t>
  </si>
  <si>
    <t xml:space="preserve">Each FR has at least one acceptance criterion or example</t>
  </si>
  <si>
    <t xml:space="preserve">FRs cover state transitions, not only actions</t>
  </si>
  <si>
    <t xml:space="preserve">Negative paths and failure cases represented</t>
  </si>
  <si>
    <t xml:space="preserve">Timing, ordering, and temporal constraints explicit</t>
  </si>
  <si>
    <t xml:space="preserve">Override and exception workflows captured</t>
  </si>
  <si>
    <t xml:space="preserve">Multi-user / concurrent scenarios addressed (two operators on same card, shift handoff, conflicting switching orders)</t>
  </si>
  <si>
    <t xml:space="preserve">System-internal behaviors (retry, reconciliation, cleanup) represented</t>
  </si>
  <si>
    <t xml:space="preserve">Business Rules</t>
  </si>
  <si>
    <t xml:space="preserve">Rules documented from legacy functional specifications</t>
  </si>
  <si>
    <t xml:space="preserve">Rules embedded in legacy code identified for extraction (vendor task)</t>
  </si>
  <si>
    <t xml:space="preserve">Each rule has: condition, consequence, rationale, applicability scope</t>
  </si>
  <si>
    <t xml:space="preserve">State-dependent rules distinguished from static rules</t>
  </si>
  <si>
    <t xml:space="preserve">Safety-critical rules flagged explicitly; two-person validation trail documented</t>
  </si>
  <si>
    <t xml:space="preserve">Rules with known legacy exceptions / overrides documented</t>
  </si>
  <si>
    <t xml:space="preserve">Obsolete rules identified for deprecation consideration</t>
  </si>
  <si>
    <t xml:space="preserve">NFRs</t>
  </si>
  <si>
    <t xml:space="preserve">Each NFR has a measurement method defined</t>
  </si>
  <si>
    <t xml:space="preserve">Performance NFRs traced to expected workload profiles (normal, peak, storm)</t>
  </si>
  <si>
    <t xml:space="preserve">Availability NFRs traced to redundancy and failover architecture</t>
  </si>
  <si>
    <t xml:space="preserve">Scalability NFRs include capacity for 5-year growth projection</t>
  </si>
  <si>
    <t xml:space="preserve">Security NFRs map to compliance framework controls (NERC CIP, state PUC)</t>
  </si>
  <si>
    <t xml:space="preserve">Audit NFRs specify retention duration and retrieval performance</t>
  </si>
  <si>
    <t xml:space="preserve">Recoverability NFRs include RPO/RTO per subsystem with documented rationale</t>
  </si>
  <si>
    <t xml:space="preserve">Operability NFRs capture deployment, monitoring, on-call concerns</t>
  </si>
  <si>
    <t xml:space="preserve">NFRs checked against known legacy system actual behavior (gaps vs. aspirations)</t>
  </si>
  <si>
    <t xml:space="preserve">NFRs include testability statement — how each will be validated</t>
  </si>
  <si>
    <t xml:space="preserve">System Inventory</t>
  </si>
  <si>
    <t xml:space="preserve">All integrated systems cataloged with name, vendor, ownership, protocol, criticality</t>
  </si>
  <si>
    <t xml:space="preserve">Each system's expected availability and impact on our system when unavailable</t>
  </si>
  <si>
    <t xml:space="preserve">Data volume and velocity at each integration boundary characterized</t>
  </si>
  <si>
    <t xml:space="preserve">Authentication mechanism per system</t>
  </si>
  <si>
    <t xml:space="preserve">Test environment availability per system</t>
  </si>
  <si>
    <t xml:space="preserve">Data classification sensitivity per integration</t>
  </si>
  <si>
    <t xml:space="preserve">Read-only vs. read-write boundaries explicit</t>
  </si>
  <si>
    <t xml:space="preserve">Known-quirky behaviors per system documented (vendor resource valuable here)</t>
  </si>
  <si>
    <t xml:space="preserve">Retirement roadmap per legacy system documented</t>
  </si>
  <si>
    <t xml:space="preserve">Integration Depth</t>
  </si>
  <si>
    <t xml:space="preserve">Protocol + message format + schema documented</t>
  </si>
  <si>
    <t xml:space="preserve">Synchronous vs. asynchronous explicit</t>
  </si>
  <si>
    <t xml:space="preserve">Event ordering semantics characterized</t>
  </si>
  <si>
    <t xml:space="preserve">Idempotency keys and deduplication approach specified</t>
  </si>
  <si>
    <t xml:space="preserve">Retry semantics on both sides documented</t>
  </si>
  <si>
    <t xml:space="preserve">Error response catalog complete</t>
  </si>
  <si>
    <t xml:space="preserve">Volume profile: normal, peak, storm-day</t>
  </si>
  <si>
    <t xml:space="preserve">Latency profile: P50, P95, P99 under each load</t>
  </si>
  <si>
    <t xml:space="preserve">Failure modes: partial, duplicate, out-of-order, loss, corruption</t>
  </si>
  <si>
    <t xml:space="preserve">Reconciliation approach for state drift documented</t>
  </si>
  <si>
    <t xml:space="preserve">Monitoring and alerting specified</t>
  </si>
  <si>
    <t xml:space="preserve">Contact/ownership documented including 3am response path</t>
  </si>
  <si>
    <t xml:space="preserve">Data Model</t>
  </si>
  <si>
    <t xml:space="preserve">Entity list complete across all five domains</t>
  </si>
  <si>
    <t xml:space="preserve">Relationships and cardinalities documented</t>
  </si>
  <si>
    <t xml:space="preserve">Aggregate boundaries identified (consistency vs. eventual)</t>
  </si>
  <si>
    <t xml:space="preserve">Ownership: which service/module owns which entity</t>
  </si>
  <si>
    <t xml:space="preserve">Historical/temporal entities distinguished from state entities</t>
  </si>
  <si>
    <t xml:space="preserve">Reference data vs. operational data separated</t>
  </si>
  <si>
    <t xml:space="preserve">Data sensitivity classification per entity</t>
  </si>
  <si>
    <t xml:space="preserve">Expected volume per entity (normal and 5-year projection)</t>
  </si>
  <si>
    <t xml:space="preserve">Retention requirements per entity (regulatory and business)</t>
  </si>
  <si>
    <t xml:space="preserve">Legacy data model anomalies documented</t>
  </si>
  <si>
    <t xml:space="preserve">State Machines</t>
  </si>
  <si>
    <t xml:space="preserve">State machines explicit for Card, Switching Order, Switching Step, Clearance, other long-lived objects</t>
  </si>
  <si>
    <t xml:space="preserve">Valid state transitions enumerated; invalid transitions identified</t>
  </si>
  <si>
    <t xml:space="preserve">Precondition predicates per transition documented</t>
  </si>
  <si>
    <t xml:space="preserve">Postcondition predicates per transition documented</t>
  </si>
  <si>
    <t xml:space="preserve">Compensating actions for failed transitions defined</t>
  </si>
  <si>
    <t xml:space="preserve">Timeout behavior per state defined</t>
  </si>
  <si>
    <t xml:space="preserve">Concurrent access rules per state (contention, locking, conflict resolution)</t>
  </si>
  <si>
    <t xml:space="preserve">Cross-object coordination rules documented</t>
  </si>
  <si>
    <t xml:space="preserve">Operational &amp; Edge</t>
  </si>
  <si>
    <t xml:space="preserve">Storm-day scenario modeled end-to-end (volume, concurrency, card load, dispatch queue)</t>
  </si>
  <si>
    <t xml:space="preserve">SCADA/EMS unavailable — degraded behavior defined</t>
  </si>
  <si>
    <t xml:space="preserve">Field work system unavailable — degraded behavior defined</t>
  </si>
  <si>
    <t xml:space="preserve">GIS/CIS unavailable — graceful degradation defined</t>
  </si>
  <si>
    <t xml:space="preserve">Network partition between datacenters — failover behavior defined</t>
  </si>
  <si>
    <t xml:space="preserve">Single operator working night shift — workload and escalation defined</t>
  </si>
  <si>
    <t xml:space="preserve">Shift handoff during active switching order — protocol defined</t>
  </si>
  <si>
    <t xml:space="preserve">Switching order abandonment mid-execution — reversal behavior defined</t>
  </si>
  <si>
    <t xml:space="preserve">Emergency bypass / override scenarios defined for critical safety rules</t>
  </si>
  <si>
    <t xml:space="preserve">Regulatory audit scenario — evidence retrieval walkthrough documented</t>
  </si>
  <si>
    <t xml:space="preserve">Domain Coverage</t>
  </si>
  <si>
    <t xml:space="preserve">Distribution coverage equivalent across categories</t>
  </si>
  <si>
    <t xml:space="preserve">Transmission coverage equivalent across categories</t>
  </si>
  <si>
    <t xml:space="preserve">Di-Electric coverage equivalent across categories</t>
  </si>
  <si>
    <t xml:space="preserve">RTU/Telephonic coverage equivalent across categories</t>
  </si>
  <si>
    <t xml:space="preserve">Steam coverage equivalent across categories</t>
  </si>
  <si>
    <t xml:space="preserve">SUMMARY</t>
  </si>
  <si>
    <t xml:space="preserve">Total items:</t>
  </si>
  <si>
    <t xml:space="preserve">Verified:</t>
  </si>
  <si>
    <t xml:space="preserve">Gap:</t>
  </si>
  <si>
    <t xml:space="preserve">Rework:</t>
  </si>
  <si>
    <t xml:space="preserve">% Verified:</t>
  </si>
  <si>
    <t xml:space="preserve">Gap Register</t>
  </si>
  <si>
    <t xml:space="preserve">Every gap found during validation. Disposition must be explicit: close now / defer to design / defer to build / accept risk.</t>
  </si>
  <si>
    <t xml:space="preserve">Severity: CRITICAL = block Design entry; HIGH = close early in Design; MEDIUM = address during Design; LOW = track only.</t>
  </si>
  <si>
    <t xml:space="preserve">Gap ID</t>
  </si>
  <si>
    <t xml:space="preserve">Description</t>
  </si>
  <si>
    <t xml:space="preserve">Why It Matters</t>
  </si>
  <si>
    <t xml:space="preserve">Severity</t>
  </si>
  <si>
    <t xml:space="preserve">Recommended Action</t>
  </si>
  <si>
    <t xml:space="preserve">Effort (S/M/L)</t>
  </si>
  <si>
    <t xml:space="preserve">Disposition</t>
  </si>
  <si>
    <t xml:space="preserve">Target Close Date</t>
  </si>
  <si>
    <t xml:space="preserve">G-001</t>
  </si>
  <si>
    <t xml:space="preserve">SCADA event ordering semantics not specified beyond 'events arrive in order'</t>
  </si>
  <si>
    <t xml:space="preserve">System may be designed assuming exactly-once ordered delivery when SCADA can produce out-of-order events during recovery; silent correctness failures possible</t>
  </si>
  <si>
    <t xml:space="preserve">CRITICAL</t>
  </si>
  <si>
    <t xml:space="preserve">Integration Architect + SCADA team workshop; document ordering guarantees formally; update integration spec</t>
  </si>
  <si>
    <t xml:space="preserve">M</t>
  </si>
  <si>
    <t xml:space="preserve">Close Now</t>
  </si>
  <si>
    <t xml:space="preserve">Integration Architect</t>
  </si>
  <si>
    <t xml:space="preserve">Open</t>
  </si>
  <si>
    <t xml:space="preserve">G-002</t>
  </si>
  <si>
    <t xml:space="preserve">NFR-007 (step precondition accuracy = 100%) has no measurement method defined</t>
  </si>
  <si>
    <t xml:space="preserve">100% accuracy is untestable without explicit safety test suite; risk of claiming compliance without evidence</t>
  </si>
  <si>
    <t xml:space="preserve">Define safety test suite; historical switching order replay; formal verification approach</t>
  </si>
  <si>
    <t xml:space="preserve">L</t>
  </si>
  <si>
    <t xml:space="preserve">Chief Architect</t>
  </si>
  <si>
    <t xml:space="preserve">G-003</t>
  </si>
  <si>
    <t xml:space="preserve">Abandoned switching order reversal workflow not formalized</t>
  </si>
  <si>
    <t xml:space="preserve">Implementation will be ad-hoc; safety-critical reversal logic at risk of defect; BR-SW-020 references but not specified</t>
  </si>
  <si>
    <t xml:space="preserve">HIGH</t>
  </si>
  <si>
    <t xml:space="preserve">Workshop with Product Council; formalize reversal state machine; derive test cases</t>
  </si>
  <si>
    <t xml:space="preserve">Defer to Design</t>
  </si>
  <si>
    <t xml:space="preserve">Chief Architect + Sr Eng Deputy</t>
  </si>
  <si>
    <t xml:space="preserve">G-004</t>
  </si>
  <si>
    <t xml:space="preserve">Di-Electric fluid-pressure time-series storage and retention not addressed</t>
  </si>
  <si>
    <t xml:space="preserve">Regulatory retention requirements unknown; may require time-series DB decision; affects architecture</t>
  </si>
  <si>
    <t xml:space="preserve">Engage Di-Electric SME; determine retention; ADR for time-series approach</t>
  </si>
  <si>
    <t xml:space="preserve">Data Architect</t>
  </si>
  <si>
    <t xml:space="preserve">G-005</t>
  </si>
  <si>
    <t xml:space="preserve">Shift handoff during active switching order — protocol undefined</t>
  </si>
  <si>
    <t xml:space="preserve">Operator confusion during handoff could lead to duplicated or missed steps; safety implication</t>
  </si>
  <si>
    <t xml:space="preserve">Workshop with active shift supervisors; define handoff protocol; story in MVP</t>
  </si>
  <si>
    <t xml:space="preserve">S</t>
  </si>
  <si>
    <t xml:space="preserve">Product Owner</t>
  </si>
  <si>
    <t xml:space="preserve">G-006</t>
  </si>
  <si>
    <t xml:space="preserve">Steam system coverage significantly shallower than Distribution across all categories</t>
  </si>
  <si>
    <t xml:space="preserve">Steam modernization may be under-scoped; risk of late-phase scope discovery</t>
  </si>
  <si>
    <t xml:space="preserve">MEDIUM</t>
  </si>
  <si>
    <t xml:space="preserve">Dedicated Steam workshop; validate feature/rule completeness; adjust backlog</t>
  </si>
  <si>
    <t xml:space="preserve">BA + Steam SME</t>
  </si>
  <si>
    <t xml:space="preserve">G-007</t>
  </si>
  <si>
    <t xml:space="preserve">Rules embedded in legacy restoration priority algorithm not documented anywhere</t>
  </si>
  <si>
    <t xml:space="preserve">Behavior invisible to anyone but the legacy code; feature parity risk</t>
  </si>
  <si>
    <t xml:space="preserve">Priority target for vendor code archaeology Batch 2</t>
  </si>
  <si>
    <t xml:space="preserve">Defer to Build</t>
  </si>
  <si>
    <t xml:space="preserve">Vendor Resource + Data Architect</t>
  </si>
  <si>
    <t xml:space="preserve">G-008</t>
  </si>
  <si>
    <t xml:space="preserve">Concurrent card editing by two operators — behavior undefined</t>
  </si>
  <si>
    <t xml:space="preserve">Race condition in implementation; operator experience inconsistent</t>
  </si>
  <si>
    <t xml:space="preserve">Define concurrency model; pessimistic vs. optimistic locking ADR</t>
  </si>
  <si>
    <t xml:space="preserve">Sr Eng Deputy</t>
  </si>
  <si>
    <t xml:space="preserve">G-009</t>
  </si>
  <si>
    <t xml:space="preserve">Field Work System dispatch ack timeout — not specified</t>
  </si>
  <si>
    <t xml:space="preserve">Orphan dispatch risk; outbox pattern specifics need ack semantics</t>
  </si>
  <si>
    <t xml:space="preserve">Field Work System vendor engagement; ack timeout specification</t>
  </si>
  <si>
    <t xml:space="preserve">G-010</t>
  </si>
  <si>
    <t xml:space="preserve">GIS retirement roadmap — current GIS being replaced by enterprise team in parallel</t>
  </si>
  <si>
    <t xml:space="preserve">Our integration target may change mid-build; rework risk</t>
  </si>
  <si>
    <t xml:space="preserve">Engage GIS program; determine integration target; bridge strategy</t>
  </si>
  <si>
    <t xml:space="preserve">Program Manager + Integration Architect</t>
  </si>
  <si>
    <t xml:space="preserve">G-011</t>
  </si>
  <si>
    <t xml:space="preserve">Operability NFRs (on-call MTTR, runbook coverage) not present</t>
  </si>
  <si>
    <t xml:space="preserve">Operational readiness not measurable; hypercare exit criteria weak</t>
  </si>
  <si>
    <t xml:space="preserve">Add operability NFRs; re-signature round required</t>
  </si>
  <si>
    <t xml:space="preserve">DevOps Lead + Program Manager</t>
  </si>
  <si>
    <t xml:space="preserve">G-012</t>
  </si>
  <si>
    <t xml:space="preserve">Emergency bypass / override scenarios for grounding rules — undefined</t>
  </si>
  <si>
    <t xml:space="preserve">Safety-critical rule (BR-SAFETY-003) says no override; validate this absolute rule against real operational scenarios</t>
  </si>
  <si>
    <t xml:space="preserve">Product Council deep-dive; confirm absolute rule vs. needing narrow escape hatch</t>
  </si>
  <si>
    <t xml:space="preserve">Product Council + Chief Architect</t>
  </si>
  <si>
    <t xml:space="preserve">Total gaps:</t>
  </si>
  <si>
    <t xml:space="preserve">CRITICAL:</t>
  </si>
  <si>
    <t xml:space="preserve">HIGH:</t>
  </si>
  <si>
    <t xml:space="preserve">MEDIUM:</t>
  </si>
  <si>
    <t xml:space="preserve">LOW:</t>
  </si>
  <si>
    <t xml:space="preserve">Open:</t>
  </si>
  <si>
    <t xml:space="preserve">In Progress:</t>
  </si>
  <si>
    <t xml:space="preserve">Closed:</t>
  </si>
  <si>
    <t xml:space="preserve">Blocking Design entry (CRITICAL Open/In Progress):</t>
  </si>
  <si>
    <t xml:space="preserve">Discovery Artifact Inventory</t>
  </si>
  <si>
    <t xml:space="preserve">Every Discovery output being validated. One row per artifact. Reviewer sign-off indicates validation complete for that artifact.</t>
  </si>
  <si>
    <t xml:space="preserve">Link column should point to the artifact location (wiki, SharePoint, Confluence, file path).</t>
  </si>
  <si>
    <t xml:space="preserve">Artifact ID</t>
  </si>
  <si>
    <t xml:space="preserve">Artifact Name</t>
  </si>
  <si>
    <t xml:space="preserve">Type</t>
  </si>
  <si>
    <t xml:space="preserve">Location/Link</t>
  </si>
  <si>
    <t xml:space="preserve">Reviewer</t>
  </si>
  <si>
    <t xml:space="preserve">Review Status</t>
  </si>
  <si>
    <t xml:space="preserve">Review Date</t>
  </si>
  <si>
    <t xml:space="preserve">Baseline Version</t>
  </si>
  <si>
    <t xml:space="preserve">DA-001</t>
  </si>
  <si>
    <t xml:space="preserve">Feature Catalog — master</t>
  </si>
  <si>
    <t xml:space="preserve">Catalog</t>
  </si>
  <si>
    <t xml:space="preserve">wiki/discovery/features</t>
  </si>
  <si>
    <t xml:space="preserve">Chief Architect + PO</t>
  </si>
  <si>
    <t xml:space="preserve">In Review</t>
  </si>
  <si>
    <t xml:space="preserve">v1.0</t>
  </si>
  <si>
    <t xml:space="preserve">DA-002</t>
  </si>
  <si>
    <t xml:space="preserve">Functional Requirements Document</t>
  </si>
  <si>
    <t xml:space="preserve">Requirements</t>
  </si>
  <si>
    <t xml:space="preserve">wiki/discovery/fr</t>
  </si>
  <si>
    <t xml:space="preserve">DA-003</t>
  </si>
  <si>
    <t xml:space="preserve">Business Rules Register (from spec)</t>
  </si>
  <si>
    <t xml:space="preserve">Register</t>
  </si>
  <si>
    <t xml:space="preserve">wiki/discovery/br</t>
  </si>
  <si>
    <t xml:space="preserve">Code-extracted rules merging in parallel via vendor work</t>
  </si>
  <si>
    <t xml:space="preserve">DA-004</t>
  </si>
  <si>
    <t xml:space="preserve">NFR Catalog (signed)</t>
  </si>
  <si>
    <t xml:space="preserve">wiki/discovery/nfr</t>
  </si>
  <si>
    <t xml:space="preserve">Not Started</t>
  </si>
  <si>
    <t xml:space="preserve">Signed — validate grounding</t>
  </si>
  <si>
    <t xml:space="preserve">DA-005</t>
  </si>
  <si>
    <t xml:space="preserve">Inventory</t>
  </si>
  <si>
    <t xml:space="preserve">wiki/discovery/systems</t>
  </si>
  <si>
    <t xml:space="preserve">DA-006</t>
  </si>
  <si>
    <t xml:space="preserve">Integration Map (high-level)</t>
  </si>
  <si>
    <t xml:space="preserve">Map</t>
  </si>
  <si>
    <t xml:space="preserve">wiki/discovery/integrations</t>
  </si>
  <si>
    <t xml:space="preserve">Will be decomposed into per-integration deep-dives</t>
  </si>
  <si>
    <t xml:space="preserve">DA-007</t>
  </si>
  <si>
    <t xml:space="preserve">Data Entity Inventory (preliminary)</t>
  </si>
  <si>
    <t xml:space="preserve">wiki/discovery/data</t>
  </si>
  <si>
    <t xml:space="preserve">DA-008</t>
  </si>
  <si>
    <t xml:space="preserve">Use Case / User Journey Document</t>
  </si>
  <si>
    <t xml:space="preserve">Use Cases</t>
  </si>
  <si>
    <t xml:space="preserve">wiki/discovery/usecases</t>
  </si>
  <si>
    <t xml:space="preserve">DA-009</t>
  </si>
  <si>
    <t xml:space="preserve">Personas and Role Model</t>
  </si>
  <si>
    <t xml:space="preserve">Personas</t>
  </si>
  <si>
    <t xml:space="preserve">wiki/discovery/personas</t>
  </si>
  <si>
    <t xml:space="preserve">UX Designer</t>
  </si>
  <si>
    <t xml:space="preserve">Verified</t>
  </si>
  <si>
    <t xml:space="preserve">Strength of Discovery</t>
  </si>
  <si>
    <t xml:space="preserve">DA-010</t>
  </si>
  <si>
    <t xml:space="preserve">UX Flows / Wireframes</t>
  </si>
  <si>
    <t xml:space="preserve">Design</t>
  </si>
  <si>
    <t xml:space="preserve">figma/project/discovery</t>
  </si>
  <si>
    <t xml:space="preserve">DA-011</t>
  </si>
  <si>
    <t xml:space="preserve">Glossary / Domain Terms</t>
  </si>
  <si>
    <t xml:space="preserve">Glossary</t>
  </si>
  <si>
    <t xml:space="preserve">wiki/discovery/glossary</t>
  </si>
  <si>
    <t xml:space="preserve">BA Lead</t>
  </si>
  <si>
    <t xml:space="preserve">DA-012</t>
  </si>
  <si>
    <t xml:space="preserve">Stakeholder Map</t>
  </si>
  <si>
    <t xml:space="preserve">wiki/discovery/stakeholders</t>
  </si>
  <si>
    <t xml:space="preserve">Program Manager</t>
  </si>
  <si>
    <t xml:space="preserve">DA-013</t>
  </si>
  <si>
    <t xml:space="preserve">Constraints &amp; Assumptions Log</t>
  </si>
  <si>
    <t xml:space="preserve">Log</t>
  </si>
  <si>
    <t xml:space="preserve">wiki/discovery/constraints</t>
  </si>
  <si>
    <t xml:space="preserve">DA-014</t>
  </si>
  <si>
    <t xml:space="preserve">Legacy System Capability Map</t>
  </si>
  <si>
    <t xml:space="preserve">wiki/discovery/legacy</t>
  </si>
  <si>
    <t xml:space="preserve">Vendor Resource + Sr Eng</t>
  </si>
  <si>
    <t xml:space="preserve">Feeds feature parity matrix</t>
  </si>
  <si>
    <t xml:space="preserve">Integration Augmentation Tracker</t>
  </si>
  <si>
    <t xml:space="preserve">Per-integration deep-dive covering the full 16-point specification. Each column is an integration; rows are specification dimensions.</t>
  </si>
  <si>
    <t xml:space="preserve">UNKNOWN entries are questions for the integration partner. Do not fabricate — flag explicitly.</t>
  </si>
  <si>
    <t xml:space="preserve">Specification Dimension</t>
  </si>
  <si>
    <t xml:space="preserve">SCADA/EMS</t>
  </si>
  <si>
    <t xml:space="preserve">Field Work System</t>
  </si>
  <si>
    <t xml:space="preserve">GIS</t>
  </si>
  <si>
    <t xml:space="preserve">CIS</t>
  </si>
  <si>
    <t xml:space="preserve">Enterprise Auth (SSO)</t>
  </si>
  <si>
    <t xml:space="preserve">Asset Management</t>
  </si>
  <si>
    <t xml:space="preserve">1. Protocol / format / schema</t>
  </si>
  <si>
    <t xml:space="preserve">IEC 61850 / SCADA proprietary event format over Kafka</t>
  </si>
  <si>
    <t xml:space="preserve">2. Interaction pattern (sync/async/batch/poll)</t>
  </si>
  <si>
    <t xml:space="preserve">Async — event stream consumer</t>
  </si>
  <si>
    <t xml:space="preserve">3. Ordering semantics</t>
  </si>
  <si>
    <t xml:space="preserve">Per-device partition ordered; global unordered</t>
  </si>
  <si>
    <t xml:space="preserve">4. Idempotency keys / dedup window</t>
  </si>
  <si>
    <t xml:space="preserve">Event ID (UUID); 15-min dedup window</t>
  </si>
  <si>
    <t xml:space="preserve">5. Volume — normal (events/sec)</t>
  </si>
  <si>
    <t xml:space="preserve">500/s</t>
  </si>
  <si>
    <t xml:space="preserve">6. Volume — peak storm (events/sec)</t>
  </si>
  <si>
    <t xml:space="preserve">5,000/s (storm peak observed 2023)</t>
  </si>
  <si>
    <t xml:space="preserve">7. Latency P50 / P95 / P99</t>
  </si>
  <si>
    <t xml:space="preserve">P50 &lt; 100ms, P95 &lt; 500ms, P99 &lt; 2s (source)</t>
  </si>
  <si>
    <t xml:space="preserve">8. Availability SLA</t>
  </si>
  <si>
    <t xml:space="preserve">99.95% per SCADA vendor SLA</t>
  </si>
  <si>
    <t xml:space="preserve">9. Behavior when integration unavailable</t>
  </si>
  <si>
    <t xml:space="preserve">Our system enters degraded mode; operators continue via UI; events queued on recovery</t>
  </si>
  <si>
    <t xml:space="preserve">10. Authentication mechanism</t>
  </si>
  <si>
    <t xml:space="preserve">mTLS + shared topic subscription credentials</t>
  </si>
  <si>
    <t xml:space="preserve">11. Credential lifecycle / rotation</t>
  </si>
  <si>
    <t xml:space="preserve">Cert rotation every 6 months; process defined</t>
  </si>
  <si>
    <t xml:space="preserve">12. Error response catalog</t>
  </si>
  <si>
    <t xml:space="preserve">See SCADA integration doc §5.3 — 14 error codes cataloged</t>
  </si>
  <si>
    <t xml:space="preserve">13. Failure modes (partial/dup/reorder/loss)</t>
  </si>
  <si>
    <t xml:space="preserve">Partial: possible; Duplicate: possible within 15 min; Reorder: possible on recovery; Loss: possible on extended outage &gt; 2hr</t>
  </si>
  <si>
    <t xml:space="preserve">14. Reconciliation approach</t>
  </si>
  <si>
    <t xml:space="preserve">Daily reconciliation job compares SCADA device state to our last-known state</t>
  </si>
  <si>
    <t xml:space="preserve">15. Security (TLS / at-rest / classification)</t>
  </si>
  <si>
    <t xml:space="preserve">TLS 1.3 in transit; encrypted Kafka cluster at rest; data not customer-sensitive</t>
  </si>
  <si>
    <t xml:space="preserve">16. Monitoring / alerts / runbook entry</t>
  </si>
  <si>
    <t xml:space="preserve">Consumer lag, error rate, topic throughput dashboards; alert on lag &gt; 5 min</t>
  </si>
  <si>
    <t xml:space="preserve">17. Ownership / 3am contact</t>
  </si>
  <si>
    <t xml:space="preserve">SCADA ops team 24/7; escalation to SCADA vendor L3 support</t>
  </si>
  <si>
    <t xml:space="preserve">18. Test environment availability</t>
  </si>
  <si>
    <t xml:space="preserve">Staging SCADA replica available; production-fidelity 80%</t>
  </si>
  <si>
    <t xml:space="preserve">19. Known quirks / historical issues</t>
  </si>
  <si>
    <t xml:space="preserve">Replay on recovery can exceed 30min and backfill events in unusual order</t>
  </si>
  <si>
    <t xml:space="preserve">20. Retirement / roadmap</t>
  </si>
  <si>
    <t xml:space="preserve">SCADA vendor major upgrade planned Y+3; maintain ACL pattern</t>
  </si>
  <si>
    <t xml:space="preserve">21. Validation status</t>
  </si>
  <si>
    <t xml:space="preserve">In Progress</t>
  </si>
  <si>
    <t xml:space="preserve">22. Gap reference (G-###)</t>
  </si>
  <si>
    <t xml:space="preserve">G-001, G-009 referenced</t>
  </si>
  <si>
    <t xml:space="preserve">State Machine Register</t>
  </si>
  <si>
    <t xml:space="preserve">Long-lived workflow objects requiring formal state machine specification. Each object gets a dedicated workshop during the validation window.</t>
  </si>
  <si>
    <t xml:space="preserve">Output of each workshop: transition table, precondition/postcondition predicates, concurrent-access rules, compensating actions.</t>
  </si>
  <si>
    <t xml:space="preserve">SM ID</t>
  </si>
  <si>
    <t xml:space="preserve">Workflow Object</t>
  </si>
  <si>
    <t xml:space="preserve">Domain</t>
  </si>
  <si>
    <t xml:space="preserve">Safety-Critical?</t>
  </si>
  <si>
    <t xml:space="preserve">Workshop Date</t>
  </si>
  <si>
    <t xml:space="preserve">Workshop Lead</t>
  </si>
  <si>
    <t xml:space="preserve">Output Status</t>
  </si>
  <si>
    <t xml:space="preserve">Transition Table Link</t>
  </si>
  <si>
    <t xml:space="preserve">Gaps Referenced</t>
  </si>
  <si>
    <t xml:space="preserve">SM-01</t>
  </si>
  <si>
    <t xml:space="preserve">Trouble Card</t>
  </si>
  <si>
    <t xml:space="preserve">Cross-cutting</t>
  </si>
  <si>
    <t xml:space="preserve">N</t>
  </si>
  <si>
    <t xml:space="preserve">Multi-path: auto-created, manually-created, bulk-opened</t>
  </si>
  <si>
    <t xml:space="preserve">SM-02</t>
  </si>
  <si>
    <t xml:space="preserve">Switching Order</t>
  </si>
  <si>
    <t xml:space="preserve">Y</t>
  </si>
  <si>
    <t xml:space="preserve">Most complex; highest safety concern</t>
  </si>
  <si>
    <t xml:space="preserve">SM-03</t>
  </si>
  <si>
    <t xml:space="preserve">Switching Step (within Order)</t>
  </si>
  <si>
    <t xml:space="preserve">Preconditions/postconditions are here</t>
  </si>
  <si>
    <t xml:space="preserve">SM-04</t>
  </si>
  <si>
    <t xml:space="preserve">Clearance</t>
  </si>
  <si>
    <t xml:space="preserve">Device-scope enforcement</t>
  </si>
  <si>
    <t xml:space="preserve">SM-05</t>
  </si>
  <si>
    <t xml:space="preserve">Hold-Off (Hot-Line Tag)</t>
  </si>
  <si>
    <t xml:space="preserve">SM-06</t>
  </si>
  <si>
    <t xml:space="preserve">Dispatch (Field Work)</t>
  </si>
  <si>
    <t xml:space="preserve">Crosses integration boundary</t>
  </si>
  <si>
    <t xml:space="preserve">SM-07</t>
  </si>
  <si>
    <t xml:space="preserve">Incident / Outage</t>
  </si>
  <si>
    <t xml:space="preserve">SM-08</t>
  </si>
  <si>
    <t xml:space="preserve">Abnormal Configuration Record</t>
  </si>
  <si>
    <t xml:space="preserve">SM-09</t>
  </si>
  <si>
    <t xml:space="preserve">Planned Maintenance Request</t>
  </si>
  <si>
    <t xml:space="preserve">Post-MVP but formalize now</t>
  </si>
  <si>
    <t xml:space="preserve">SM-10</t>
  </si>
  <si>
    <t xml:space="preserve">Di-Electric Pressure Event</t>
  </si>
  <si>
    <t xml:space="preserve">Di-Electric</t>
  </si>
  <si>
    <t xml:space="preserve">Di-Electric SME + Sr Eng</t>
  </si>
  <si>
    <t xml:space="preserve">Domain-specific lifecycle</t>
  </si>
  <si>
    <t xml:space="preserve">SM-11</t>
  </si>
  <si>
    <t xml:space="preserve">Steam Operation</t>
  </si>
  <si>
    <t xml:space="preserve">Steam</t>
  </si>
  <si>
    <t xml:space="preserve">Steam SME + Sr Eng</t>
  </si>
  <si>
    <t xml:space="preserve">Failure Mode &amp; Degraded Operation Catalog</t>
  </si>
  <si>
    <t xml:space="preserve">Systematic enumeration of failure scenarios with current design adequacy.</t>
  </si>
  <si>
    <t xml:space="preserve">Severity × Likelihood × Detection-difficulty = Risk Priority Number (RPN). RPN &gt;= 30 requires mitigation plan.</t>
  </si>
  <si>
    <t xml:space="preserve">FM ID</t>
  </si>
  <si>
    <t xml:space="preserve">Scenario</t>
  </si>
  <si>
    <t xml:space="preserve">Failure Class</t>
  </si>
  <si>
    <t xml:space="preserve">Likelihood (1-5)</t>
  </si>
  <si>
    <t xml:space="preserve">Impact (1-5)</t>
  </si>
  <si>
    <t xml:space="preserve">Detection Difficulty (1-5)</t>
  </si>
  <si>
    <t xml:space="preserve">RPN</t>
  </si>
  <si>
    <t xml:space="preserve">Current Design Adequacy</t>
  </si>
  <si>
    <t xml:space="preserve">Mitigation Plan</t>
  </si>
  <si>
    <t xml:space="preserve">Target Close</t>
  </si>
  <si>
    <t xml:space="preserve">FM-01</t>
  </si>
  <si>
    <t xml:space="preserve">SCADA/EMS becomes unavailable for &gt; 30 minutes during storm</t>
  </si>
  <si>
    <t xml:space="preserve">External</t>
  </si>
  <si>
    <t xml:space="preserve">Needs Work</t>
  </si>
  <si>
    <t xml:space="preserve">Define degraded mode behavior; event queueing strategy; operator UI indication</t>
  </si>
  <si>
    <t xml:space="preserve">FM-02</t>
  </si>
  <si>
    <t xml:space="preserve">SCADA event backlog replay after extended outage (&gt;2hr)</t>
  </si>
  <si>
    <t xml:space="preserve">Not Addressed</t>
  </si>
  <si>
    <t xml:space="preserve">Backpressure strategy; replay prioritization; rate limiting</t>
  </si>
  <si>
    <t xml:space="preserve">FM-03</t>
  </si>
  <si>
    <t xml:space="preserve">Field Work System unavailable; dispatches cannot flow</t>
  </si>
  <si>
    <t xml:space="preserve">Partial</t>
  </si>
  <si>
    <t xml:space="preserve">Outbox with queued dispatches; manual dispatch bypass; operator visibility</t>
  </si>
  <si>
    <t xml:space="preserve">FM-04</t>
  </si>
  <si>
    <t xml:space="preserve">Database primary failure during active switching order</t>
  </si>
  <si>
    <t xml:space="preserve">Internal</t>
  </si>
  <si>
    <t xml:space="preserve">Adequate</t>
  </si>
  <si>
    <t xml:space="preserve">Patroni failover; connection pooling; transaction semantics</t>
  </si>
  <si>
    <t xml:space="preserve">Infrastructure Architect</t>
  </si>
  <si>
    <t xml:space="preserve">FM-05</t>
  </si>
  <si>
    <t xml:space="preserve">Full datacenter failure (DR scenario)</t>
  </si>
  <si>
    <t xml:space="preserve">Adequate (tested)</t>
  </si>
  <si>
    <t xml:space="preserve">DR site activation playbook; RPO/RTO validated</t>
  </si>
  <si>
    <t xml:space="preserve">FM-06</t>
  </si>
  <si>
    <t xml:space="preserve">Partial DB degradation — slow queries saturate connections</t>
  </si>
  <si>
    <t xml:space="preserve">Connection pool sizing; query timeout; circuit breaker</t>
  </si>
  <si>
    <t xml:space="preserve">DBA + Sr Eng</t>
  </si>
  <si>
    <t xml:space="preserve">FM-07</t>
  </si>
  <si>
    <t xml:space="preserve">Network partition between datacenters</t>
  </si>
  <si>
    <t xml:space="preserve">Split-brain prevention; witness arbitration</t>
  </si>
  <si>
    <t xml:space="preserve">FM-08</t>
  </si>
  <si>
    <t xml:space="preserve">Kafka broker loss during peak ingestion</t>
  </si>
  <si>
    <t xml:space="preserve">3+ broker cluster with replication factor 3; producer retry</t>
  </si>
  <si>
    <t xml:space="preserve">Platform Tech Lead</t>
  </si>
  <si>
    <t xml:space="preserve">FM-09</t>
  </si>
  <si>
    <t xml:space="preserve">Storm + SCADA high volume + DB degradation (cascading)</t>
  </si>
  <si>
    <t xml:space="preserve">Cascading</t>
  </si>
  <si>
    <t xml:space="preserve">End-to-end backpressure; shedding strategy; degraded UI mode</t>
  </si>
  <si>
    <t xml:space="preserve">FM-10</t>
  </si>
  <si>
    <t xml:space="preserve">Shift handoff during active switching order execution</t>
  </si>
  <si>
    <t xml:space="preserve">Operational</t>
  </si>
  <si>
    <t xml:space="preserve">Handoff protocol definition; explicit acknowledgment step</t>
  </si>
  <si>
    <t xml:space="preserve">Product Owner + Sr Eng</t>
  </si>
  <si>
    <t xml:space="preserve">FM-11</t>
  </si>
  <si>
    <t xml:space="preserve">Switching order abandonment mid-execution</t>
  </si>
  <si>
    <t xml:space="preserve">Reverse-steps state machine (SM-02, SM-03); BR-SW-020</t>
  </si>
  <si>
    <t xml:space="preserve">FM-12</t>
  </si>
  <si>
    <t xml:space="preserve">Database failover while switching order in mid-execution</t>
  </si>
  <si>
    <t xml:space="preserve">Transaction boundaries; state recovery; operator resume workflow</t>
  </si>
  <si>
    <t xml:space="preserve">FM-13</t>
  </si>
  <si>
    <t xml:space="preserve">Silent corruption — SCADA state diverges from our state</t>
  </si>
  <si>
    <t xml:space="preserve">Daily reconciliation; divergence alerting; operator override</t>
  </si>
  <si>
    <t xml:space="preserve">FM-14</t>
  </si>
  <si>
    <t xml:space="preserve">Auth / SSO provider unavailable</t>
  </si>
  <si>
    <t xml:space="preserve">Cached credentials window; emergency access procedure</t>
  </si>
  <si>
    <t xml:space="preserve">Security Architect</t>
  </si>
  <si>
    <t xml:space="preserve">FM-15</t>
  </si>
  <si>
    <t xml:space="preserve">Storm load causes UI response time degradation &gt; 10x</t>
  </si>
  <si>
    <t xml:space="preserve">Client-side caching; server-side degradation; feature throttling</t>
  </si>
  <si>
    <t xml:space="preserve">Frontend Tech Lead</t>
  </si>
  <si>
    <t xml:space="preserve">Total failure modes:</t>
  </si>
  <si>
    <t xml:space="preserve">High RPN (&gt;=50):</t>
  </si>
  <si>
    <t xml:space="preserve">Medium RPN (30-49):</t>
  </si>
  <si>
    <t xml:space="preserve">Not Addressed:</t>
  </si>
  <si>
    <t xml:space="preserve">Needs Work:</t>
  </si>
  <si>
    <t xml:space="preserve">Adequate or better:</t>
  </si>
  <si>
    <t xml:space="preserve">Validation Workshops Log</t>
  </si>
  <si>
    <t xml:space="preserve">Schedule of validation workshops during the 4-6 week window. Each workshop produces specific outputs captured in the relevant tabs.</t>
  </si>
  <si>
    <t xml:space="preserve">Post-workshop: decisions and gaps logged in Gap Register; outputs filed in appropriate augmentation tabs.</t>
  </si>
  <si>
    <t xml:space="preserve">Workshop ID</t>
  </si>
  <si>
    <t xml:space="preserve">Topic</t>
  </si>
  <si>
    <t xml:space="preserve">Date Planned</t>
  </si>
  <si>
    <t xml:space="preserve">Date Held</t>
  </si>
  <si>
    <t xml:space="preserve">Duration</t>
  </si>
  <si>
    <t xml:space="preserve">Lead</t>
  </si>
  <si>
    <t xml:space="preserve">Attendees</t>
  </si>
  <si>
    <t xml:space="preserve">Outputs / Notes</t>
  </si>
  <si>
    <t xml:space="preserve">WS-01</t>
  </si>
  <si>
    <t xml:space="preserve">SCADA/EMS Integration Deep-Dive</t>
  </si>
  <si>
    <t xml:space="preserve">Week 1</t>
  </si>
  <si>
    <t xml:space="preserve">Half-day</t>
  </si>
  <si>
    <t xml:space="preserve">Chief Architect, Sr Eng, SCADA team liaison, vendor resource</t>
  </si>
  <si>
    <t xml:space="preserve">WS-02</t>
  </si>
  <si>
    <t xml:space="preserve">Field Work System Integration Deep-Dive</t>
  </si>
  <si>
    <t xml:space="preserve">Chief Architect, Sr Eng, Field Work vendor liaison</t>
  </si>
  <si>
    <t xml:space="preserve">WS-03</t>
  </si>
  <si>
    <t xml:space="preserve">GIS Integration Deep-Dive</t>
  </si>
  <si>
    <t xml:space="preserve">Week 2</t>
  </si>
  <si>
    <t xml:space="preserve">Chief Architect, Sr Eng, GIS team liaison</t>
  </si>
  <si>
    <t xml:space="preserve">WS-04</t>
  </si>
  <si>
    <t xml:space="preserve">CIS Integration Deep-Dive</t>
  </si>
  <si>
    <t xml:space="preserve">Chief Architect, Sr Eng, CIS team liaison</t>
  </si>
  <si>
    <t xml:space="preserve">WS-05</t>
  </si>
  <si>
    <t xml:space="preserve">Data Model Review (cross-domain)</t>
  </si>
  <si>
    <t xml:space="preserve">Full-day</t>
  </si>
  <si>
    <t xml:space="preserve">Chief Architect, Sr Engs, DBA, BAs, vendor resource</t>
  </si>
  <si>
    <t xml:space="preserve">WS-06</t>
  </si>
  <si>
    <t xml:space="preserve">State Machine Formalization — Trouble Card</t>
  </si>
  <si>
    <t xml:space="preserve">Week 3</t>
  </si>
  <si>
    <t xml:space="preserve">Chief Architect, Product Council operator, BA</t>
  </si>
  <si>
    <t xml:space="preserve">WS-07</t>
  </si>
  <si>
    <t xml:space="preserve">State Machine Formalization — Switching Order</t>
  </si>
  <si>
    <t xml:space="preserve">Sr Engs, Product Council, BA, vendor resource</t>
  </si>
  <si>
    <t xml:space="preserve">Most complex - extra time</t>
  </si>
  <si>
    <t xml:space="preserve">WS-08</t>
  </si>
  <si>
    <t xml:space="preserve">State Machine Formalization — Switching Step</t>
  </si>
  <si>
    <t xml:space="preserve">Safety-critical preconditions/postconditions</t>
  </si>
  <si>
    <t xml:space="preserve">WS-09</t>
  </si>
  <si>
    <t xml:space="preserve">State Machine Formalization — Clearance</t>
  </si>
  <si>
    <t xml:space="preserve">Week 4</t>
  </si>
  <si>
    <t xml:space="preserve">Chief Architect, Product Council, BA</t>
  </si>
  <si>
    <t xml:space="preserve">WS-10</t>
  </si>
  <si>
    <t xml:space="preserve">Failure Mode Analysis — External Dependencies</t>
  </si>
  <si>
    <t xml:space="preserve">All Sr Engs, Integration Architect, Infrastructure Lead, Product Council</t>
  </si>
  <si>
    <t xml:space="preserve">WS-11</t>
  </si>
  <si>
    <t xml:space="preserve">Storm-Day Scenario Modeling</t>
  </si>
  <si>
    <t xml:space="preserve">All Sr Engs, Product Council, active shift supervisor liaison</t>
  </si>
  <si>
    <t xml:space="preserve">WS-12</t>
  </si>
  <si>
    <t xml:space="preserve">NFR Grounding Review</t>
  </si>
  <si>
    <t xml:space="preserve">Week 5</t>
  </si>
  <si>
    <t xml:space="preserve">Infrastructure Architect, Security Architect, QA Lead</t>
  </si>
  <si>
    <t xml:space="preserve">WS-13</t>
  </si>
  <si>
    <t xml:space="preserve">Di-Electric / RTU / Steam Domain Coverage Check</t>
  </si>
  <si>
    <t xml:space="preserve">Domain SMEs, Sr Engs, Chief Architect</t>
  </si>
  <si>
    <t xml:space="preserve">WS-14</t>
  </si>
  <si>
    <t xml:space="preserve">Business Rule Batch Review (recurring — weekly)</t>
  </si>
  <si>
    <t xml:space="preserve">Weeks 2-6</t>
  </si>
  <si>
    <t xml:space="preserve">2-hour</t>
  </si>
  <si>
    <t xml:space="preserve">Vendor resource, Sr Eng, Product Council, BA</t>
  </si>
  <si>
    <t xml:space="preserve">Recurring weekly during vendor extraction</t>
  </si>
  <si>
    <t xml:space="preserve">WS-15</t>
  </si>
  <si>
    <t xml:space="preserve">Gap Register Review &amp; Disposition</t>
  </si>
  <si>
    <t xml:space="preserve">Chief Architect, Sr Eng Deputy, Product Owners</t>
  </si>
  <si>
    <t xml:space="preserve">Disposition every open gap</t>
  </si>
  <si>
    <t xml:space="preserve">WS-16</t>
  </si>
  <si>
    <t xml:space="preserve">Baseline Acceptance Review</t>
  </si>
  <si>
    <t xml:space="preserve">Week 6</t>
  </si>
  <si>
    <t xml:space="preserve">Chief Architect, Sr Eng Deputy, Steering Committee rep</t>
  </si>
  <si>
    <t xml:space="preserve">Signs baseline for Design entry</t>
  </si>
  <si>
    <t xml:space="preserve">Vendor Code Archaeology Tracker</t>
  </si>
  <si>
    <t xml:space="preserve">Business rule extraction from legacy code by vendor resource. Organized in batches by module/subsystem.</t>
  </si>
  <si>
    <t xml:space="preserve">Each batch: scope, estimated rule count, actual rule count, test case count, Product Council validation status.</t>
  </si>
  <si>
    <t xml:space="preserve">Batch ID</t>
  </si>
  <si>
    <t xml:space="preserve">Module/Subsystem</t>
  </si>
  <si>
    <t xml:space="preserve">Legacy Code Scope</t>
  </si>
  <si>
    <t xml:space="preserve">Estimated Rules</t>
  </si>
  <si>
    <t xml:space="preserve">Actual Rules Extracted</t>
  </si>
  <si>
    <t xml:space="preserve">Tests Derived</t>
  </si>
  <si>
    <t xml:space="preserve">Validation Status</t>
  </si>
  <si>
    <t xml:space="preserve">Start Date</t>
  </si>
  <si>
    <t xml:space="preserve">Complete Date</t>
  </si>
  <si>
    <t xml:space="preserve">B-01</t>
  </si>
  <si>
    <t xml:space="preserve">SCADA Event Handler</t>
  </si>
  <si>
    <t xml:space="preserve">legacy/oms/events/</t>
  </si>
  <si>
    <t xml:space="preserve">Priority 1 - feeds MVP</t>
  </si>
  <si>
    <t xml:space="preserve">B-02</t>
  </si>
  <si>
    <t xml:space="preserve">Trouble Card Core</t>
  </si>
  <si>
    <t xml:space="preserve">legacy/oms/card/</t>
  </si>
  <si>
    <t xml:space="preserve">B-03</t>
  </si>
  <si>
    <t xml:space="preserve">Switching Order Authoring</t>
  </si>
  <si>
    <t xml:space="preserve">legacy/swman/author/</t>
  </si>
  <si>
    <t xml:space="preserve">Priority 1 - safety-critical</t>
  </si>
  <si>
    <t xml:space="preserve">B-04</t>
  </si>
  <si>
    <t xml:space="preserve">Switching Step Execution</t>
  </si>
  <si>
    <t xml:space="preserve">legacy/swman/exec/</t>
  </si>
  <si>
    <t xml:space="preserve">Priority 1 - safety-critical; highest volume</t>
  </si>
  <si>
    <t xml:space="preserve">B-05</t>
  </si>
  <si>
    <t xml:space="preserve">Clearance / Tag Management</t>
  </si>
  <si>
    <t xml:space="preserve">legacy/clr/</t>
  </si>
  <si>
    <t xml:space="preserve">B-06</t>
  </si>
  <si>
    <t xml:space="preserve">Customer Impact Calculation</t>
  </si>
  <si>
    <t xml:space="preserve">legacy/oms/card/cust_*</t>
  </si>
  <si>
    <t xml:space="preserve">Priority 2</t>
  </si>
  <si>
    <t xml:space="preserve">B-07</t>
  </si>
  <si>
    <t xml:space="preserve">Restoration Priority Algorithm</t>
  </si>
  <si>
    <t xml:space="preserve">legacy/oms/rest/</t>
  </si>
  <si>
    <t xml:space="preserve">Priority 2 — G-007 referenced</t>
  </si>
  <si>
    <t xml:space="preserve">B-08</t>
  </si>
  <si>
    <t xml:space="preserve">Distribution Feeder Model</t>
  </si>
  <si>
    <t xml:space="preserve">legacy/assets/dist/</t>
  </si>
  <si>
    <t xml:space="preserve">B-09</t>
  </si>
  <si>
    <t xml:space="preserve">Transmission Feeder Model</t>
  </si>
  <si>
    <t xml:space="preserve">legacy/assets/trans/</t>
  </si>
  <si>
    <t xml:space="preserve">Priority 3 — NERC CIP</t>
  </si>
  <si>
    <t xml:space="preserve">B-10</t>
  </si>
  <si>
    <t xml:space="preserve">Di-Electric Subsystem</t>
  </si>
  <si>
    <t xml:space="preserve">legacy/dielectric/</t>
  </si>
  <si>
    <t xml:space="preserve">Priority 3 — domain-specific</t>
  </si>
  <si>
    <t xml:space="preserve">B-11</t>
  </si>
  <si>
    <t xml:space="preserve">RTU / Telephonic Line</t>
  </si>
  <si>
    <t xml:space="preserve">legacy/rtu/</t>
  </si>
  <si>
    <t xml:space="preserve">Priority 3</t>
  </si>
  <si>
    <t xml:space="preserve">B-12</t>
  </si>
  <si>
    <t xml:space="preserve">Steam Subsystem</t>
  </si>
  <si>
    <t xml:space="preserve">legacy/steam/</t>
  </si>
  <si>
    <t xml:space="preserve">B-13</t>
  </si>
  <si>
    <t xml:space="preserve">Scheduled Maintenance</t>
  </si>
  <si>
    <t xml:space="preserve">legacy/sched_maint/</t>
  </si>
  <si>
    <t xml:space="preserve">Priority 3 — post-MVP</t>
  </si>
  <si>
    <t xml:space="preserve">B-14</t>
  </si>
  <si>
    <t xml:space="preserve">Reporting / SAIDI/SAIFI</t>
  </si>
  <si>
    <t xml:space="preserve">legacy/reporting/</t>
  </si>
  <si>
    <t xml:space="preserve">TOTALS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</si>
</sst>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name val="Arial"/>
        <charset val="1"/>
        <family val="0"/>
        <b val="1"/>
        <color rgb="FF990000"/>
        <sz val="10"/>
      </font>
      <fill>
        <patternFill>
          <bgColor rgb="FFF4CCCC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1</v>
      </c>
      <c r="B3" s="3" t="s">
        <v>2</v>
      </c>
      <c r="C3" s="3"/>
      <c r="D3" s="3"/>
      <c r="E3" s="3"/>
      <c r="F3" s="3"/>
    </row>
    <row r="4" customFormat="false" ht="15" hidden="false" customHeight="false" outlineLevel="0" collapsed="false">
      <c r="A4" s="2"/>
      <c r="B4" s="3"/>
      <c r="C4" s="3"/>
      <c r="D4" s="3"/>
      <c r="E4" s="3"/>
      <c r="F4" s="3"/>
    </row>
    <row r="5" customFormat="false" ht="23.85" hidden="false" customHeight="true" outlineLevel="0" collapsed="false">
      <c r="A5" s="4" t="s">
        <v>3</v>
      </c>
      <c r="B5" s="3" t="s">
        <v>4</v>
      </c>
      <c r="C5" s="3"/>
      <c r="D5" s="3"/>
      <c r="E5" s="3"/>
      <c r="F5" s="3"/>
    </row>
    <row r="6" customFormat="false" ht="15" hidden="false" customHeight="false" outlineLevel="0" collapsed="false">
      <c r="A6" s="2"/>
      <c r="B6" s="3"/>
      <c r="C6" s="3"/>
      <c r="D6" s="3"/>
      <c r="E6" s="3"/>
      <c r="F6" s="3"/>
    </row>
    <row r="7" customFormat="false" ht="23.85" hidden="false" customHeight="true" outlineLevel="0" collapsed="false">
      <c r="A7" s="4" t="s">
        <v>5</v>
      </c>
      <c r="B7" s="3" t="s">
        <v>6</v>
      </c>
      <c r="C7" s="3"/>
      <c r="D7" s="3"/>
      <c r="E7" s="3"/>
      <c r="F7" s="3"/>
    </row>
    <row r="8" customFormat="false" ht="15" hidden="false" customHeight="false" outlineLevel="0" collapsed="false">
      <c r="A8" s="2"/>
      <c r="B8" s="3"/>
      <c r="C8" s="3"/>
      <c r="D8" s="3"/>
      <c r="E8" s="3"/>
      <c r="F8" s="3"/>
    </row>
    <row r="9" customFormat="false" ht="15" hidden="false" customHeight="false" outlineLevel="0" collapsed="false">
      <c r="A9" s="4" t="s">
        <v>7</v>
      </c>
      <c r="B9" s="3"/>
      <c r="C9" s="3"/>
      <c r="D9" s="3"/>
      <c r="E9" s="3"/>
      <c r="F9" s="3"/>
    </row>
    <row r="10" customFormat="false" ht="15" hidden="false" customHeight="true" outlineLevel="0" collapsed="false">
      <c r="A10" s="2" t="s">
        <v>8</v>
      </c>
      <c r="B10" s="3" t="s">
        <v>9</v>
      </c>
      <c r="C10" s="3"/>
      <c r="D10" s="3"/>
      <c r="E10" s="3"/>
      <c r="F10" s="3"/>
    </row>
    <row r="11" customFormat="false" ht="15" hidden="false" customHeight="true" outlineLevel="0" collapsed="false">
      <c r="A11" s="2" t="s">
        <v>10</v>
      </c>
      <c r="B11" s="3" t="s">
        <v>11</v>
      </c>
      <c r="C11" s="3"/>
      <c r="D11" s="3"/>
      <c r="E11" s="3"/>
      <c r="F11" s="3"/>
    </row>
    <row r="12" customFormat="false" ht="15" hidden="false" customHeight="true" outlineLevel="0" collapsed="false">
      <c r="A12" s="2" t="s">
        <v>12</v>
      </c>
      <c r="B12" s="3" t="s">
        <v>13</v>
      </c>
      <c r="C12" s="3"/>
      <c r="D12" s="3"/>
      <c r="E12" s="3"/>
      <c r="F12" s="3"/>
    </row>
    <row r="13" customFormat="false" ht="15" hidden="false" customHeight="true" outlineLevel="0" collapsed="false">
      <c r="A13" s="2" t="s">
        <v>14</v>
      </c>
      <c r="B13" s="3" t="s">
        <v>15</v>
      </c>
      <c r="C13" s="3"/>
      <c r="D13" s="3"/>
      <c r="E13" s="3"/>
      <c r="F13" s="3"/>
    </row>
    <row r="14" customFormat="false" ht="15" hidden="false" customHeight="true" outlineLevel="0" collapsed="false">
      <c r="A14" s="2" t="s">
        <v>16</v>
      </c>
      <c r="B14" s="3" t="s">
        <v>17</v>
      </c>
      <c r="C14" s="3"/>
      <c r="D14" s="3"/>
      <c r="E14" s="3"/>
      <c r="F14" s="3"/>
    </row>
    <row r="15" customFormat="false" ht="15" hidden="false" customHeight="true" outlineLevel="0" collapsed="false">
      <c r="A15" s="2" t="s">
        <v>18</v>
      </c>
      <c r="B15" s="3" t="s">
        <v>19</v>
      </c>
      <c r="C15" s="3"/>
      <c r="D15" s="3"/>
      <c r="E15" s="3"/>
      <c r="F15" s="3"/>
    </row>
    <row r="16" customFormat="false" ht="15" hidden="false" customHeight="true" outlineLevel="0" collapsed="false">
      <c r="A16" s="2" t="s">
        <v>20</v>
      </c>
      <c r="B16" s="3" t="s">
        <v>21</v>
      </c>
      <c r="C16" s="3"/>
      <c r="D16" s="3"/>
      <c r="E16" s="3"/>
      <c r="F16" s="3"/>
    </row>
    <row r="17" customFormat="false" ht="15" hidden="false" customHeight="true" outlineLevel="0" collapsed="false">
      <c r="A17" s="2" t="s">
        <v>22</v>
      </c>
      <c r="B17" s="3" t="s">
        <v>23</v>
      </c>
      <c r="C17" s="3"/>
      <c r="D17" s="3"/>
      <c r="E17" s="3"/>
      <c r="F17" s="3"/>
    </row>
    <row r="18" customFormat="false" ht="15" hidden="false" customHeight="false" outlineLevel="0" collapsed="false">
      <c r="A18" s="2"/>
      <c r="B18" s="3"/>
      <c r="C18" s="3"/>
      <c r="D18" s="3"/>
      <c r="E18" s="3"/>
      <c r="F18" s="3"/>
    </row>
    <row r="19" customFormat="false" ht="15" hidden="false" customHeight="false" outlineLevel="0" collapsed="false">
      <c r="A19" s="4" t="s">
        <v>24</v>
      </c>
      <c r="B19" s="3"/>
      <c r="C19" s="3"/>
      <c r="D19" s="3"/>
      <c r="E19" s="3"/>
      <c r="F19" s="3"/>
    </row>
    <row r="20" customFormat="false" ht="15" hidden="false" customHeight="true" outlineLevel="0" collapsed="false">
      <c r="A20" s="2" t="s">
        <v>25</v>
      </c>
      <c r="B20" s="3" t="s">
        <v>26</v>
      </c>
      <c r="C20" s="3"/>
      <c r="D20" s="3"/>
      <c r="E20" s="3"/>
      <c r="F20" s="3"/>
    </row>
    <row r="21" customFormat="false" ht="15" hidden="false" customHeight="true" outlineLevel="0" collapsed="false">
      <c r="A21" s="2" t="s">
        <v>27</v>
      </c>
      <c r="B21" s="3" t="s">
        <v>28</v>
      </c>
      <c r="C21" s="3"/>
      <c r="D21" s="3"/>
      <c r="E21" s="3"/>
      <c r="F21" s="3"/>
    </row>
    <row r="22" customFormat="false" ht="15" hidden="false" customHeight="true" outlineLevel="0" collapsed="false">
      <c r="A22" s="2" t="s">
        <v>29</v>
      </c>
      <c r="B22" s="3" t="s">
        <v>30</v>
      </c>
      <c r="C22" s="3"/>
      <c r="D22" s="3"/>
      <c r="E22" s="3"/>
      <c r="F22" s="3"/>
    </row>
    <row r="23" customFormat="false" ht="15" hidden="false" customHeight="true" outlineLevel="0" collapsed="false">
      <c r="A23" s="2" t="s">
        <v>31</v>
      </c>
      <c r="B23" s="3" t="s">
        <v>32</v>
      </c>
      <c r="C23" s="3"/>
      <c r="D23" s="3"/>
      <c r="E23" s="3"/>
      <c r="F23" s="3"/>
    </row>
    <row r="24" customFormat="false" ht="15" hidden="false" customHeight="false" outlineLevel="0" collapsed="false">
      <c r="A24" s="2"/>
      <c r="B24" s="3"/>
      <c r="C24" s="3"/>
      <c r="D24" s="3"/>
      <c r="E24" s="3"/>
      <c r="F24" s="3"/>
    </row>
    <row r="25" customFormat="false" ht="15" hidden="false" customHeight="true" outlineLevel="0" collapsed="false">
      <c r="A25" s="4" t="s">
        <v>33</v>
      </c>
      <c r="B25" s="3" t="s">
        <v>34</v>
      </c>
      <c r="C25" s="3"/>
      <c r="D25" s="3"/>
      <c r="E25" s="3"/>
      <c r="F25" s="3"/>
    </row>
    <row r="26" customFormat="false" ht="15" hidden="false" customHeight="true" outlineLevel="0" collapsed="false">
      <c r="A26" s="4" t="s">
        <v>35</v>
      </c>
      <c r="B26" s="3" t="s">
        <v>36</v>
      </c>
      <c r="C26" s="3"/>
      <c r="D26" s="3"/>
      <c r="E26" s="3"/>
      <c r="F26" s="3"/>
    </row>
  </sheetData>
  <mergeCells count="26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24" hidden="false" customHeight="true" outlineLevel="0" collapsed="false">
      <c r="A1" s="5" t="s">
        <v>37</v>
      </c>
      <c r="B1" s="5"/>
      <c r="C1" s="5"/>
      <c r="D1" s="5"/>
      <c r="E1" s="5"/>
      <c r="F1" s="5"/>
      <c r="G1" s="5"/>
    </row>
    <row r="2" customFormat="false" ht="15" hidden="false" customHeight="false" outlineLevel="0" collapsed="false">
      <c r="A2" s="6" t="s">
        <v>38</v>
      </c>
      <c r="B2" s="6"/>
      <c r="C2" s="6"/>
      <c r="D2" s="6"/>
      <c r="E2" s="6"/>
      <c r="F2" s="6"/>
      <c r="G2" s="6"/>
    </row>
    <row r="3" customFormat="false" ht="15" hidden="false" customHeight="false" outlineLevel="0" collapsed="false">
      <c r="A3" s="6" t="s">
        <v>39</v>
      </c>
      <c r="B3" s="6"/>
      <c r="C3" s="6"/>
      <c r="D3" s="6"/>
      <c r="E3" s="6"/>
      <c r="F3" s="6"/>
      <c r="G3" s="6"/>
    </row>
    <row r="4" customFormat="false" ht="31.5" hidden="false" customHeight="true" outlineLevel="0" collapsed="false">
      <c r="A4" s="7" t="s">
        <v>40</v>
      </c>
      <c r="B4" s="7" t="s">
        <v>41</v>
      </c>
      <c r="C4" s="7" t="s">
        <v>42</v>
      </c>
      <c r="D4" s="7" t="s">
        <v>43</v>
      </c>
      <c r="E4" s="7" t="s">
        <v>44</v>
      </c>
      <c r="F4" s="7" t="s">
        <v>45</v>
      </c>
      <c r="G4" s="7" t="s">
        <v>46</v>
      </c>
    </row>
    <row r="5" customFormat="false" ht="15" hidden="false" customHeight="false" outlineLevel="0" collapsed="false">
      <c r="A5" s="8" t="n">
        <v>1</v>
      </c>
      <c r="B5" s="8" t="s">
        <v>47</v>
      </c>
      <c r="C5" s="8" t="s">
        <v>48</v>
      </c>
      <c r="D5" s="8"/>
      <c r="E5" s="8"/>
      <c r="F5" s="8"/>
      <c r="G5" s="8"/>
    </row>
    <row r="6" customFormat="false" ht="15" hidden="false" customHeight="false" outlineLevel="0" collapsed="false">
      <c r="A6" s="8" t="n">
        <v>2</v>
      </c>
      <c r="B6" s="8" t="s">
        <v>47</v>
      </c>
      <c r="C6" s="8" t="s">
        <v>49</v>
      </c>
      <c r="D6" s="8"/>
      <c r="E6" s="8"/>
      <c r="F6" s="8"/>
      <c r="G6" s="8"/>
    </row>
    <row r="7" customFormat="false" ht="23.85" hidden="false" customHeight="false" outlineLevel="0" collapsed="false">
      <c r="A7" s="8" t="n">
        <v>3</v>
      </c>
      <c r="B7" s="8" t="s">
        <v>47</v>
      </c>
      <c r="C7" s="8" t="s">
        <v>50</v>
      </c>
      <c r="D7" s="8"/>
      <c r="E7" s="8"/>
      <c r="F7" s="8"/>
      <c r="G7" s="8"/>
    </row>
    <row r="8" customFormat="false" ht="23.85" hidden="false" customHeight="false" outlineLevel="0" collapsed="false">
      <c r="A8" s="8" t="n">
        <v>4</v>
      </c>
      <c r="B8" s="8" t="s">
        <v>47</v>
      </c>
      <c r="C8" s="8" t="s">
        <v>51</v>
      </c>
      <c r="D8" s="8"/>
      <c r="E8" s="8"/>
      <c r="F8" s="8"/>
      <c r="G8" s="8"/>
    </row>
    <row r="9" customFormat="false" ht="15" hidden="false" customHeight="false" outlineLevel="0" collapsed="false">
      <c r="A9" s="8" t="n">
        <v>5</v>
      </c>
      <c r="B9" s="8" t="s">
        <v>47</v>
      </c>
      <c r="C9" s="8" t="s">
        <v>52</v>
      </c>
      <c r="D9" s="8"/>
      <c r="E9" s="8"/>
      <c r="F9" s="8"/>
      <c r="G9" s="8"/>
    </row>
    <row r="10" customFormat="false" ht="15" hidden="false" customHeight="false" outlineLevel="0" collapsed="false">
      <c r="A10" s="8" t="n">
        <v>6</v>
      </c>
      <c r="B10" s="8" t="s">
        <v>47</v>
      </c>
      <c r="C10" s="8" t="s">
        <v>53</v>
      </c>
      <c r="D10" s="8"/>
      <c r="E10" s="8"/>
      <c r="F10" s="8"/>
      <c r="G10" s="8"/>
    </row>
    <row r="11" customFormat="false" ht="15" hidden="false" customHeight="false" outlineLevel="0" collapsed="false">
      <c r="A11" s="8" t="n">
        <v>7</v>
      </c>
      <c r="B11" s="8" t="s">
        <v>47</v>
      </c>
      <c r="C11" s="8" t="s">
        <v>54</v>
      </c>
      <c r="D11" s="8"/>
      <c r="E11" s="8"/>
      <c r="F11" s="8"/>
      <c r="G11" s="8"/>
    </row>
    <row r="12" customFormat="false" ht="15" hidden="false" customHeight="false" outlineLevel="0" collapsed="false">
      <c r="A12" s="9" t="n">
        <v>8</v>
      </c>
      <c r="B12" s="9" t="s">
        <v>55</v>
      </c>
      <c r="C12" s="9" t="s">
        <v>56</v>
      </c>
      <c r="D12" s="9"/>
      <c r="E12" s="9"/>
      <c r="F12" s="9"/>
      <c r="G12" s="9"/>
    </row>
    <row r="13" customFormat="false" ht="15" hidden="false" customHeight="false" outlineLevel="0" collapsed="false">
      <c r="A13" s="9" t="n">
        <v>9</v>
      </c>
      <c r="B13" s="9" t="s">
        <v>55</v>
      </c>
      <c r="C13" s="9" t="s">
        <v>57</v>
      </c>
      <c r="D13" s="9"/>
      <c r="E13" s="9"/>
      <c r="F13" s="9"/>
      <c r="G13" s="9"/>
    </row>
    <row r="14" customFormat="false" ht="15" hidden="false" customHeight="false" outlineLevel="0" collapsed="false">
      <c r="A14" s="9" t="n">
        <v>10</v>
      </c>
      <c r="B14" s="9" t="s">
        <v>55</v>
      </c>
      <c r="C14" s="9" t="s">
        <v>58</v>
      </c>
      <c r="D14" s="9"/>
      <c r="E14" s="9"/>
      <c r="F14" s="9"/>
      <c r="G14" s="9"/>
    </row>
    <row r="15" customFormat="false" ht="15" hidden="false" customHeight="false" outlineLevel="0" collapsed="false">
      <c r="A15" s="9" t="n">
        <v>11</v>
      </c>
      <c r="B15" s="9" t="s">
        <v>55</v>
      </c>
      <c r="C15" s="9" t="s">
        <v>59</v>
      </c>
      <c r="D15" s="9"/>
      <c r="E15" s="9"/>
      <c r="F15" s="9"/>
      <c r="G15" s="9"/>
    </row>
    <row r="16" customFormat="false" ht="15" hidden="false" customHeight="false" outlineLevel="0" collapsed="false">
      <c r="A16" s="9" t="n">
        <v>12</v>
      </c>
      <c r="B16" s="9" t="s">
        <v>55</v>
      </c>
      <c r="C16" s="9" t="s">
        <v>60</v>
      </c>
      <c r="D16" s="9"/>
      <c r="E16" s="9"/>
      <c r="F16" s="9"/>
      <c r="G16" s="9"/>
    </row>
    <row r="17" customFormat="false" ht="23.85" hidden="false" customHeight="false" outlineLevel="0" collapsed="false">
      <c r="A17" s="9" t="n">
        <v>13</v>
      </c>
      <c r="B17" s="9" t="s">
        <v>55</v>
      </c>
      <c r="C17" s="9" t="s">
        <v>61</v>
      </c>
      <c r="D17" s="9"/>
      <c r="E17" s="9"/>
      <c r="F17" s="9"/>
      <c r="G17" s="9"/>
    </row>
    <row r="18" customFormat="false" ht="15" hidden="false" customHeight="false" outlineLevel="0" collapsed="false">
      <c r="A18" s="9" t="n">
        <v>14</v>
      </c>
      <c r="B18" s="9" t="s">
        <v>55</v>
      </c>
      <c r="C18" s="9" t="s">
        <v>62</v>
      </c>
      <c r="D18" s="9"/>
      <c r="E18" s="9"/>
      <c r="F18" s="9"/>
      <c r="G18" s="9"/>
    </row>
    <row r="19" customFormat="false" ht="15" hidden="false" customHeight="false" outlineLevel="0" collapsed="false">
      <c r="A19" s="8" t="n">
        <v>15</v>
      </c>
      <c r="B19" s="8" t="s">
        <v>63</v>
      </c>
      <c r="C19" s="8" t="s">
        <v>64</v>
      </c>
      <c r="D19" s="8"/>
      <c r="E19" s="8"/>
      <c r="F19" s="8"/>
      <c r="G19" s="8"/>
    </row>
    <row r="20" customFormat="false" ht="15" hidden="false" customHeight="false" outlineLevel="0" collapsed="false">
      <c r="A20" s="8" t="n">
        <v>16</v>
      </c>
      <c r="B20" s="8" t="s">
        <v>63</v>
      </c>
      <c r="C20" s="8" t="s">
        <v>65</v>
      </c>
      <c r="D20" s="8"/>
      <c r="E20" s="8"/>
      <c r="F20" s="8"/>
      <c r="G20" s="8"/>
    </row>
    <row r="21" customFormat="false" ht="15" hidden="false" customHeight="false" outlineLevel="0" collapsed="false">
      <c r="A21" s="8" t="n">
        <v>17</v>
      </c>
      <c r="B21" s="8" t="s">
        <v>63</v>
      </c>
      <c r="C21" s="8" t="s">
        <v>66</v>
      </c>
      <c r="D21" s="8"/>
      <c r="E21" s="8"/>
      <c r="F21" s="8"/>
      <c r="G21" s="8"/>
    </row>
    <row r="22" customFormat="false" ht="15" hidden="false" customHeight="false" outlineLevel="0" collapsed="false">
      <c r="A22" s="8" t="n">
        <v>18</v>
      </c>
      <c r="B22" s="8" t="s">
        <v>63</v>
      </c>
      <c r="C22" s="8" t="s">
        <v>67</v>
      </c>
      <c r="D22" s="8"/>
      <c r="E22" s="8"/>
      <c r="F22" s="8"/>
      <c r="G22" s="8"/>
    </row>
    <row r="23" customFormat="false" ht="15" hidden="false" customHeight="false" outlineLevel="0" collapsed="false">
      <c r="A23" s="8" t="n">
        <v>19</v>
      </c>
      <c r="B23" s="8" t="s">
        <v>63</v>
      </c>
      <c r="C23" s="8" t="s">
        <v>68</v>
      </c>
      <c r="D23" s="8"/>
      <c r="E23" s="8"/>
      <c r="F23" s="8"/>
      <c r="G23" s="8"/>
    </row>
    <row r="24" customFormat="false" ht="15" hidden="false" customHeight="false" outlineLevel="0" collapsed="false">
      <c r="A24" s="8" t="n">
        <v>20</v>
      </c>
      <c r="B24" s="8" t="s">
        <v>63</v>
      </c>
      <c r="C24" s="8" t="s">
        <v>69</v>
      </c>
      <c r="D24" s="8"/>
      <c r="E24" s="8"/>
      <c r="F24" s="8"/>
      <c r="G24" s="8"/>
    </row>
    <row r="25" customFormat="false" ht="15" hidden="false" customHeight="false" outlineLevel="0" collapsed="false">
      <c r="A25" s="8" t="n">
        <v>21</v>
      </c>
      <c r="B25" s="8" t="s">
        <v>63</v>
      </c>
      <c r="C25" s="8" t="s">
        <v>70</v>
      </c>
      <c r="D25" s="8"/>
      <c r="E25" s="8"/>
      <c r="F25" s="8"/>
      <c r="G25" s="8"/>
    </row>
    <row r="26" customFormat="false" ht="15" hidden="false" customHeight="false" outlineLevel="0" collapsed="false">
      <c r="A26" s="9" t="n">
        <v>22</v>
      </c>
      <c r="B26" s="9" t="s">
        <v>71</v>
      </c>
      <c r="C26" s="9" t="s">
        <v>72</v>
      </c>
      <c r="D26" s="9"/>
      <c r="E26" s="9"/>
      <c r="F26" s="9"/>
      <c r="G26" s="9"/>
    </row>
    <row r="27" customFormat="false" ht="15" hidden="false" customHeight="false" outlineLevel="0" collapsed="false">
      <c r="A27" s="9" t="n">
        <v>23</v>
      </c>
      <c r="B27" s="9" t="s">
        <v>71</v>
      </c>
      <c r="C27" s="9" t="s">
        <v>73</v>
      </c>
      <c r="D27" s="9"/>
      <c r="E27" s="9"/>
      <c r="F27" s="9"/>
      <c r="G27" s="9"/>
    </row>
    <row r="28" customFormat="false" ht="15" hidden="false" customHeight="false" outlineLevel="0" collapsed="false">
      <c r="A28" s="9" t="n">
        <v>24</v>
      </c>
      <c r="B28" s="9" t="s">
        <v>71</v>
      </c>
      <c r="C28" s="9" t="s">
        <v>74</v>
      </c>
      <c r="D28" s="9"/>
      <c r="E28" s="9"/>
      <c r="F28" s="9"/>
      <c r="G28" s="9"/>
    </row>
    <row r="29" customFormat="false" ht="15" hidden="false" customHeight="false" outlineLevel="0" collapsed="false">
      <c r="A29" s="9" t="n">
        <v>25</v>
      </c>
      <c r="B29" s="9" t="s">
        <v>71</v>
      </c>
      <c r="C29" s="9" t="s">
        <v>75</v>
      </c>
      <c r="D29" s="9"/>
      <c r="E29" s="9"/>
      <c r="F29" s="9"/>
      <c r="G29" s="9"/>
    </row>
    <row r="30" customFormat="false" ht="15" hidden="false" customHeight="false" outlineLevel="0" collapsed="false">
      <c r="A30" s="9" t="n">
        <v>26</v>
      </c>
      <c r="B30" s="9" t="s">
        <v>71</v>
      </c>
      <c r="C30" s="9" t="s">
        <v>76</v>
      </c>
      <c r="D30" s="9"/>
      <c r="E30" s="9"/>
      <c r="F30" s="9"/>
      <c r="G30" s="9"/>
    </row>
    <row r="31" customFormat="false" ht="15" hidden="false" customHeight="false" outlineLevel="0" collapsed="false">
      <c r="A31" s="9" t="n">
        <v>27</v>
      </c>
      <c r="B31" s="9" t="s">
        <v>71</v>
      </c>
      <c r="C31" s="9" t="s">
        <v>77</v>
      </c>
      <c r="D31" s="9"/>
      <c r="E31" s="9"/>
      <c r="F31" s="9"/>
      <c r="G31" s="9"/>
    </row>
    <row r="32" customFormat="false" ht="15" hidden="false" customHeight="false" outlineLevel="0" collapsed="false">
      <c r="A32" s="9" t="n">
        <v>28</v>
      </c>
      <c r="B32" s="9" t="s">
        <v>71</v>
      </c>
      <c r="C32" s="9" t="s">
        <v>78</v>
      </c>
      <c r="D32" s="9"/>
      <c r="E32" s="9"/>
      <c r="F32" s="9"/>
      <c r="G32" s="9"/>
    </row>
    <row r="33" customFormat="false" ht="15" hidden="false" customHeight="false" outlineLevel="0" collapsed="false">
      <c r="A33" s="9" t="n">
        <v>29</v>
      </c>
      <c r="B33" s="9" t="s">
        <v>71</v>
      </c>
      <c r="C33" s="9" t="s">
        <v>79</v>
      </c>
      <c r="D33" s="9"/>
      <c r="E33" s="9"/>
      <c r="F33" s="9"/>
      <c r="G33" s="9"/>
    </row>
    <row r="34" customFormat="false" ht="15" hidden="false" customHeight="false" outlineLevel="0" collapsed="false">
      <c r="A34" s="9" t="n">
        <v>30</v>
      </c>
      <c r="B34" s="9" t="s">
        <v>71</v>
      </c>
      <c r="C34" s="9" t="s">
        <v>80</v>
      </c>
      <c r="D34" s="9"/>
      <c r="E34" s="9"/>
      <c r="F34" s="9"/>
      <c r="G34" s="9"/>
    </row>
    <row r="35" customFormat="false" ht="15" hidden="false" customHeight="false" outlineLevel="0" collapsed="false">
      <c r="A35" s="9" t="n">
        <v>31</v>
      </c>
      <c r="B35" s="9" t="s">
        <v>71</v>
      </c>
      <c r="C35" s="9" t="s">
        <v>81</v>
      </c>
      <c r="D35" s="9"/>
      <c r="E35" s="9"/>
      <c r="F35" s="9"/>
      <c r="G35" s="9"/>
    </row>
    <row r="36" customFormat="false" ht="15" hidden="false" customHeight="false" outlineLevel="0" collapsed="false">
      <c r="A36" s="8" t="n">
        <v>32</v>
      </c>
      <c r="B36" s="8" t="s">
        <v>82</v>
      </c>
      <c r="C36" s="8" t="s">
        <v>83</v>
      </c>
      <c r="D36" s="8"/>
      <c r="E36" s="8"/>
      <c r="F36" s="8"/>
      <c r="G36" s="8"/>
    </row>
    <row r="37" customFormat="false" ht="15" hidden="false" customHeight="false" outlineLevel="0" collapsed="false">
      <c r="A37" s="8" t="n">
        <v>33</v>
      </c>
      <c r="B37" s="8" t="s">
        <v>82</v>
      </c>
      <c r="C37" s="8" t="s">
        <v>84</v>
      </c>
      <c r="D37" s="8"/>
      <c r="E37" s="8"/>
      <c r="F37" s="8"/>
      <c r="G37" s="8"/>
    </row>
    <row r="38" customFormat="false" ht="15" hidden="false" customHeight="false" outlineLevel="0" collapsed="false">
      <c r="A38" s="8" t="n">
        <v>34</v>
      </c>
      <c r="B38" s="8" t="s">
        <v>82</v>
      </c>
      <c r="C38" s="8" t="s">
        <v>85</v>
      </c>
      <c r="D38" s="8"/>
      <c r="E38" s="8"/>
      <c r="F38" s="8"/>
      <c r="G38" s="8"/>
    </row>
    <row r="39" customFormat="false" ht="15" hidden="false" customHeight="false" outlineLevel="0" collapsed="false">
      <c r="A39" s="8" t="n">
        <v>35</v>
      </c>
      <c r="B39" s="8" t="s">
        <v>82</v>
      </c>
      <c r="C39" s="8" t="s">
        <v>86</v>
      </c>
      <c r="D39" s="8"/>
      <c r="E39" s="8"/>
      <c r="F39" s="8"/>
      <c r="G39" s="8"/>
    </row>
    <row r="40" customFormat="false" ht="15" hidden="false" customHeight="false" outlineLevel="0" collapsed="false">
      <c r="A40" s="8" t="n">
        <v>36</v>
      </c>
      <c r="B40" s="8" t="s">
        <v>82</v>
      </c>
      <c r="C40" s="8" t="s">
        <v>87</v>
      </c>
      <c r="D40" s="8"/>
      <c r="E40" s="8"/>
      <c r="F40" s="8"/>
      <c r="G40" s="8"/>
    </row>
    <row r="41" customFormat="false" ht="15" hidden="false" customHeight="false" outlineLevel="0" collapsed="false">
      <c r="A41" s="8" t="n">
        <v>37</v>
      </c>
      <c r="B41" s="8" t="s">
        <v>82</v>
      </c>
      <c r="C41" s="8" t="s">
        <v>88</v>
      </c>
      <c r="D41" s="8"/>
      <c r="E41" s="8"/>
      <c r="F41" s="8"/>
      <c r="G41" s="8"/>
    </row>
    <row r="42" customFormat="false" ht="15" hidden="false" customHeight="false" outlineLevel="0" collapsed="false">
      <c r="A42" s="8" t="n">
        <v>38</v>
      </c>
      <c r="B42" s="8" t="s">
        <v>82</v>
      </c>
      <c r="C42" s="8" t="s">
        <v>89</v>
      </c>
      <c r="D42" s="8"/>
      <c r="E42" s="8"/>
      <c r="F42" s="8"/>
      <c r="G42" s="8"/>
    </row>
    <row r="43" customFormat="false" ht="15" hidden="false" customHeight="false" outlineLevel="0" collapsed="false">
      <c r="A43" s="8" t="n">
        <v>39</v>
      </c>
      <c r="B43" s="8" t="s">
        <v>82</v>
      </c>
      <c r="C43" s="8" t="s">
        <v>90</v>
      </c>
      <c r="D43" s="8"/>
      <c r="E43" s="8"/>
      <c r="F43" s="8"/>
      <c r="G43" s="8"/>
    </row>
    <row r="44" customFormat="false" ht="15" hidden="false" customHeight="false" outlineLevel="0" collapsed="false">
      <c r="A44" s="8" t="n">
        <v>40</v>
      </c>
      <c r="B44" s="8" t="s">
        <v>82</v>
      </c>
      <c r="C44" s="8" t="s">
        <v>91</v>
      </c>
      <c r="D44" s="8"/>
      <c r="E44" s="8"/>
      <c r="F44" s="8"/>
      <c r="G44" s="8"/>
    </row>
    <row r="45" customFormat="false" ht="15" hidden="false" customHeight="false" outlineLevel="0" collapsed="false">
      <c r="A45" s="9" t="n">
        <v>41</v>
      </c>
      <c r="B45" s="9" t="s">
        <v>92</v>
      </c>
      <c r="C45" s="9" t="s">
        <v>93</v>
      </c>
      <c r="D45" s="9"/>
      <c r="E45" s="9"/>
      <c r="F45" s="9"/>
      <c r="G45" s="9"/>
    </row>
    <row r="46" customFormat="false" ht="15" hidden="false" customHeight="false" outlineLevel="0" collapsed="false">
      <c r="A46" s="9" t="n">
        <v>42</v>
      </c>
      <c r="B46" s="9" t="s">
        <v>92</v>
      </c>
      <c r="C46" s="9" t="s">
        <v>94</v>
      </c>
      <c r="D46" s="9"/>
      <c r="E46" s="9"/>
      <c r="F46" s="9"/>
      <c r="G46" s="9"/>
    </row>
    <row r="47" customFormat="false" ht="15" hidden="false" customHeight="false" outlineLevel="0" collapsed="false">
      <c r="A47" s="9" t="n">
        <v>43</v>
      </c>
      <c r="B47" s="9" t="s">
        <v>92</v>
      </c>
      <c r="C47" s="9" t="s">
        <v>95</v>
      </c>
      <c r="D47" s="9"/>
      <c r="E47" s="9"/>
      <c r="F47" s="9"/>
      <c r="G47" s="9"/>
    </row>
    <row r="48" customFormat="false" ht="15" hidden="false" customHeight="false" outlineLevel="0" collapsed="false">
      <c r="A48" s="9" t="n">
        <v>44</v>
      </c>
      <c r="B48" s="9" t="s">
        <v>92</v>
      </c>
      <c r="C48" s="9" t="s">
        <v>96</v>
      </c>
      <c r="D48" s="9"/>
      <c r="E48" s="9"/>
      <c r="F48" s="9"/>
      <c r="G48" s="9"/>
    </row>
    <row r="49" customFormat="false" ht="15" hidden="false" customHeight="false" outlineLevel="0" collapsed="false">
      <c r="A49" s="9" t="n">
        <v>45</v>
      </c>
      <c r="B49" s="9" t="s">
        <v>92</v>
      </c>
      <c r="C49" s="9" t="s">
        <v>97</v>
      </c>
      <c r="D49" s="9"/>
      <c r="E49" s="9"/>
      <c r="F49" s="9"/>
      <c r="G49" s="9"/>
    </row>
    <row r="50" customFormat="false" ht="15" hidden="false" customHeight="false" outlineLevel="0" collapsed="false">
      <c r="A50" s="9" t="n">
        <v>46</v>
      </c>
      <c r="B50" s="9" t="s">
        <v>92</v>
      </c>
      <c r="C50" s="9" t="s">
        <v>98</v>
      </c>
      <c r="D50" s="9"/>
      <c r="E50" s="9"/>
      <c r="F50" s="9"/>
      <c r="G50" s="9"/>
    </row>
    <row r="51" customFormat="false" ht="15" hidden="false" customHeight="false" outlineLevel="0" collapsed="false">
      <c r="A51" s="9" t="n">
        <v>47</v>
      </c>
      <c r="B51" s="9" t="s">
        <v>92</v>
      </c>
      <c r="C51" s="9" t="s">
        <v>99</v>
      </c>
      <c r="D51" s="9"/>
      <c r="E51" s="9"/>
      <c r="F51" s="9"/>
      <c r="G51" s="9"/>
    </row>
    <row r="52" customFormat="false" ht="15" hidden="false" customHeight="false" outlineLevel="0" collapsed="false">
      <c r="A52" s="9" t="n">
        <v>48</v>
      </c>
      <c r="B52" s="9" t="s">
        <v>92</v>
      </c>
      <c r="C52" s="9" t="s">
        <v>100</v>
      </c>
      <c r="D52" s="9"/>
      <c r="E52" s="9"/>
      <c r="F52" s="9"/>
      <c r="G52" s="9"/>
    </row>
    <row r="53" customFormat="false" ht="15" hidden="false" customHeight="false" outlineLevel="0" collapsed="false">
      <c r="A53" s="9" t="n">
        <v>49</v>
      </c>
      <c r="B53" s="9" t="s">
        <v>92</v>
      </c>
      <c r="C53" s="9" t="s">
        <v>101</v>
      </c>
      <c r="D53" s="9"/>
      <c r="E53" s="9"/>
      <c r="F53" s="9"/>
      <c r="G53" s="9"/>
    </row>
    <row r="54" customFormat="false" ht="15" hidden="false" customHeight="false" outlineLevel="0" collapsed="false">
      <c r="A54" s="9" t="n">
        <v>50</v>
      </c>
      <c r="B54" s="9" t="s">
        <v>92</v>
      </c>
      <c r="C54" s="9" t="s">
        <v>102</v>
      </c>
      <c r="D54" s="9"/>
      <c r="E54" s="9"/>
      <c r="F54" s="9"/>
      <c r="G54" s="9"/>
    </row>
    <row r="55" customFormat="false" ht="15" hidden="false" customHeight="false" outlineLevel="0" collapsed="false">
      <c r="A55" s="9" t="n">
        <v>51</v>
      </c>
      <c r="B55" s="9" t="s">
        <v>92</v>
      </c>
      <c r="C55" s="9" t="s">
        <v>103</v>
      </c>
      <c r="D55" s="9"/>
      <c r="E55" s="9"/>
      <c r="F55" s="9"/>
      <c r="G55" s="9"/>
    </row>
    <row r="56" customFormat="false" ht="15" hidden="false" customHeight="false" outlineLevel="0" collapsed="false">
      <c r="A56" s="9" t="n">
        <v>52</v>
      </c>
      <c r="B56" s="9" t="s">
        <v>92</v>
      </c>
      <c r="C56" s="9" t="s">
        <v>104</v>
      </c>
      <c r="D56" s="9"/>
      <c r="E56" s="9"/>
      <c r="F56" s="9"/>
      <c r="G56" s="9"/>
    </row>
    <row r="57" customFormat="false" ht="15" hidden="false" customHeight="false" outlineLevel="0" collapsed="false">
      <c r="A57" s="8" t="n">
        <v>53</v>
      </c>
      <c r="B57" s="8" t="s">
        <v>105</v>
      </c>
      <c r="C57" s="8" t="s">
        <v>106</v>
      </c>
      <c r="D57" s="8"/>
      <c r="E57" s="8"/>
      <c r="F57" s="8"/>
      <c r="G57" s="8"/>
    </row>
    <row r="58" customFormat="false" ht="15" hidden="false" customHeight="false" outlineLevel="0" collapsed="false">
      <c r="A58" s="8" t="n">
        <v>54</v>
      </c>
      <c r="B58" s="8" t="s">
        <v>105</v>
      </c>
      <c r="C58" s="8" t="s">
        <v>107</v>
      </c>
      <c r="D58" s="8"/>
      <c r="E58" s="8"/>
      <c r="F58" s="8"/>
      <c r="G58" s="8"/>
    </row>
    <row r="59" customFormat="false" ht="15" hidden="false" customHeight="false" outlineLevel="0" collapsed="false">
      <c r="A59" s="8" t="n">
        <v>55</v>
      </c>
      <c r="B59" s="8" t="s">
        <v>105</v>
      </c>
      <c r="C59" s="8" t="s">
        <v>108</v>
      </c>
      <c r="D59" s="8"/>
      <c r="E59" s="8"/>
      <c r="F59" s="8"/>
      <c r="G59" s="8"/>
    </row>
    <row r="60" customFormat="false" ht="15" hidden="false" customHeight="false" outlineLevel="0" collapsed="false">
      <c r="A60" s="8" t="n">
        <v>56</v>
      </c>
      <c r="B60" s="8" t="s">
        <v>105</v>
      </c>
      <c r="C60" s="8" t="s">
        <v>109</v>
      </c>
      <c r="D60" s="8"/>
      <c r="E60" s="8"/>
      <c r="F60" s="8"/>
      <c r="G60" s="8"/>
    </row>
    <row r="61" customFormat="false" ht="15" hidden="false" customHeight="false" outlineLevel="0" collapsed="false">
      <c r="A61" s="8" t="n">
        <v>57</v>
      </c>
      <c r="B61" s="8" t="s">
        <v>105</v>
      </c>
      <c r="C61" s="8" t="s">
        <v>110</v>
      </c>
      <c r="D61" s="8"/>
      <c r="E61" s="8"/>
      <c r="F61" s="8"/>
      <c r="G61" s="8"/>
    </row>
    <row r="62" customFormat="false" ht="15" hidden="false" customHeight="false" outlineLevel="0" collapsed="false">
      <c r="A62" s="8" t="n">
        <v>58</v>
      </c>
      <c r="B62" s="8" t="s">
        <v>105</v>
      </c>
      <c r="C62" s="8" t="s">
        <v>111</v>
      </c>
      <c r="D62" s="8"/>
      <c r="E62" s="8"/>
      <c r="F62" s="8"/>
      <c r="G62" s="8"/>
    </row>
    <row r="63" customFormat="false" ht="15" hidden="false" customHeight="false" outlineLevel="0" collapsed="false">
      <c r="A63" s="8" t="n">
        <v>59</v>
      </c>
      <c r="B63" s="8" t="s">
        <v>105</v>
      </c>
      <c r="C63" s="8" t="s">
        <v>112</v>
      </c>
      <c r="D63" s="8"/>
      <c r="E63" s="8"/>
      <c r="F63" s="8"/>
      <c r="G63" s="8"/>
    </row>
    <row r="64" customFormat="false" ht="15" hidden="false" customHeight="false" outlineLevel="0" collapsed="false">
      <c r="A64" s="8" t="n">
        <v>60</v>
      </c>
      <c r="B64" s="8" t="s">
        <v>105</v>
      </c>
      <c r="C64" s="8" t="s">
        <v>113</v>
      </c>
      <c r="D64" s="8"/>
      <c r="E64" s="8"/>
      <c r="F64" s="8"/>
      <c r="G64" s="8"/>
    </row>
    <row r="65" customFormat="false" ht="15" hidden="false" customHeight="false" outlineLevel="0" collapsed="false">
      <c r="A65" s="8" t="n">
        <v>61</v>
      </c>
      <c r="B65" s="8" t="s">
        <v>105</v>
      </c>
      <c r="C65" s="8" t="s">
        <v>114</v>
      </c>
      <c r="D65" s="8"/>
      <c r="E65" s="8"/>
      <c r="F65" s="8"/>
      <c r="G65" s="8"/>
    </row>
    <row r="66" customFormat="false" ht="15" hidden="false" customHeight="false" outlineLevel="0" collapsed="false">
      <c r="A66" s="8" t="n">
        <v>62</v>
      </c>
      <c r="B66" s="8" t="s">
        <v>105</v>
      </c>
      <c r="C66" s="8" t="s">
        <v>115</v>
      </c>
      <c r="D66" s="8"/>
      <c r="E66" s="8"/>
      <c r="F66" s="8"/>
      <c r="G66" s="8"/>
    </row>
    <row r="67" customFormat="false" ht="23.85" hidden="false" customHeight="false" outlineLevel="0" collapsed="false">
      <c r="A67" s="9" t="n">
        <v>63</v>
      </c>
      <c r="B67" s="9" t="s">
        <v>116</v>
      </c>
      <c r="C67" s="9" t="s">
        <v>117</v>
      </c>
      <c r="D67" s="9"/>
      <c r="E67" s="9"/>
      <c r="F67" s="9"/>
      <c r="G67" s="9"/>
    </row>
    <row r="68" customFormat="false" ht="15" hidden="false" customHeight="false" outlineLevel="0" collapsed="false">
      <c r="A68" s="9" t="n">
        <v>64</v>
      </c>
      <c r="B68" s="9" t="s">
        <v>116</v>
      </c>
      <c r="C68" s="9" t="s">
        <v>118</v>
      </c>
      <c r="D68" s="9"/>
      <c r="E68" s="9"/>
      <c r="F68" s="9"/>
      <c r="G68" s="9"/>
    </row>
    <row r="69" customFormat="false" ht="15" hidden="false" customHeight="false" outlineLevel="0" collapsed="false">
      <c r="A69" s="9" t="n">
        <v>65</v>
      </c>
      <c r="B69" s="9" t="s">
        <v>116</v>
      </c>
      <c r="C69" s="9" t="s">
        <v>119</v>
      </c>
      <c r="D69" s="9"/>
      <c r="E69" s="9"/>
      <c r="F69" s="9"/>
      <c r="G69" s="9"/>
    </row>
    <row r="70" customFormat="false" ht="15" hidden="false" customHeight="false" outlineLevel="0" collapsed="false">
      <c r="A70" s="9" t="n">
        <v>66</v>
      </c>
      <c r="B70" s="9" t="s">
        <v>116</v>
      </c>
      <c r="C70" s="9" t="s">
        <v>120</v>
      </c>
      <c r="D70" s="9"/>
      <c r="E70" s="9"/>
      <c r="F70" s="9"/>
      <c r="G70" s="9"/>
    </row>
    <row r="71" customFormat="false" ht="15" hidden="false" customHeight="false" outlineLevel="0" collapsed="false">
      <c r="A71" s="9" t="n">
        <v>67</v>
      </c>
      <c r="B71" s="9" t="s">
        <v>116</v>
      </c>
      <c r="C71" s="9" t="s">
        <v>121</v>
      </c>
      <c r="D71" s="9"/>
      <c r="E71" s="9"/>
      <c r="F71" s="9"/>
      <c r="G71" s="9"/>
    </row>
    <row r="72" customFormat="false" ht="15" hidden="false" customHeight="false" outlineLevel="0" collapsed="false">
      <c r="A72" s="9" t="n">
        <v>68</v>
      </c>
      <c r="B72" s="9" t="s">
        <v>116</v>
      </c>
      <c r="C72" s="9" t="s">
        <v>122</v>
      </c>
      <c r="D72" s="9"/>
      <c r="E72" s="9"/>
      <c r="F72" s="9"/>
      <c r="G72" s="9"/>
    </row>
    <row r="73" customFormat="false" ht="15" hidden="false" customHeight="false" outlineLevel="0" collapsed="false">
      <c r="A73" s="9" t="n">
        <v>69</v>
      </c>
      <c r="B73" s="9" t="s">
        <v>116</v>
      </c>
      <c r="C73" s="9" t="s">
        <v>123</v>
      </c>
      <c r="D73" s="9"/>
      <c r="E73" s="9"/>
      <c r="F73" s="9"/>
      <c r="G73" s="9"/>
    </row>
    <row r="74" customFormat="false" ht="15" hidden="false" customHeight="false" outlineLevel="0" collapsed="false">
      <c r="A74" s="9" t="n">
        <v>70</v>
      </c>
      <c r="B74" s="9" t="s">
        <v>116</v>
      </c>
      <c r="C74" s="9" t="s">
        <v>124</v>
      </c>
      <c r="D74" s="9"/>
      <c r="E74" s="9"/>
      <c r="F74" s="9"/>
      <c r="G74" s="9"/>
    </row>
    <row r="75" customFormat="false" ht="23.85" hidden="false" customHeight="false" outlineLevel="0" collapsed="false">
      <c r="A75" s="8" t="n">
        <v>71</v>
      </c>
      <c r="B75" s="8" t="s">
        <v>125</v>
      </c>
      <c r="C75" s="8" t="s">
        <v>126</v>
      </c>
      <c r="D75" s="8"/>
      <c r="E75" s="8"/>
      <c r="F75" s="8"/>
      <c r="G75" s="8"/>
    </row>
    <row r="76" customFormat="false" ht="15" hidden="false" customHeight="false" outlineLevel="0" collapsed="false">
      <c r="A76" s="8" t="n">
        <v>72</v>
      </c>
      <c r="B76" s="8" t="s">
        <v>125</v>
      </c>
      <c r="C76" s="8" t="s">
        <v>127</v>
      </c>
      <c r="D76" s="8"/>
      <c r="E76" s="8"/>
      <c r="F76" s="8"/>
      <c r="G76" s="8"/>
    </row>
    <row r="77" customFormat="false" ht="15" hidden="false" customHeight="false" outlineLevel="0" collapsed="false">
      <c r="A77" s="8" t="n">
        <v>73</v>
      </c>
      <c r="B77" s="8" t="s">
        <v>125</v>
      </c>
      <c r="C77" s="8" t="s">
        <v>128</v>
      </c>
      <c r="D77" s="8"/>
      <c r="E77" s="8"/>
      <c r="F77" s="8"/>
      <c r="G77" s="8"/>
    </row>
    <row r="78" customFormat="false" ht="15" hidden="false" customHeight="false" outlineLevel="0" collapsed="false">
      <c r="A78" s="8" t="n">
        <v>74</v>
      </c>
      <c r="B78" s="8" t="s">
        <v>125</v>
      </c>
      <c r="C78" s="8" t="s">
        <v>129</v>
      </c>
      <c r="D78" s="8"/>
      <c r="E78" s="8"/>
      <c r="F78" s="8"/>
      <c r="G78" s="8"/>
    </row>
    <row r="79" customFormat="false" ht="15" hidden="false" customHeight="false" outlineLevel="0" collapsed="false">
      <c r="A79" s="8" t="n">
        <v>75</v>
      </c>
      <c r="B79" s="8" t="s">
        <v>125</v>
      </c>
      <c r="C79" s="8" t="s">
        <v>130</v>
      </c>
      <c r="D79" s="8"/>
      <c r="E79" s="8"/>
      <c r="F79" s="8"/>
      <c r="G79" s="8"/>
    </row>
    <row r="80" customFormat="false" ht="15" hidden="false" customHeight="false" outlineLevel="0" collapsed="false">
      <c r="A80" s="8" t="n">
        <v>76</v>
      </c>
      <c r="B80" s="8" t="s">
        <v>125</v>
      </c>
      <c r="C80" s="8" t="s">
        <v>131</v>
      </c>
      <c r="D80" s="8"/>
      <c r="E80" s="8"/>
      <c r="F80" s="8"/>
      <c r="G80" s="8"/>
    </row>
    <row r="81" customFormat="false" ht="15" hidden="false" customHeight="false" outlineLevel="0" collapsed="false">
      <c r="A81" s="8" t="n">
        <v>77</v>
      </c>
      <c r="B81" s="8" t="s">
        <v>125</v>
      </c>
      <c r="C81" s="8" t="s">
        <v>132</v>
      </c>
      <c r="D81" s="8"/>
      <c r="E81" s="8"/>
      <c r="F81" s="8"/>
      <c r="G81" s="8"/>
    </row>
    <row r="82" customFormat="false" ht="15" hidden="false" customHeight="false" outlineLevel="0" collapsed="false">
      <c r="A82" s="8" t="n">
        <v>78</v>
      </c>
      <c r="B82" s="8" t="s">
        <v>125</v>
      </c>
      <c r="C82" s="8" t="s">
        <v>133</v>
      </c>
      <c r="D82" s="8"/>
      <c r="E82" s="8"/>
      <c r="F82" s="8"/>
      <c r="G82" s="8"/>
    </row>
    <row r="83" customFormat="false" ht="15" hidden="false" customHeight="false" outlineLevel="0" collapsed="false">
      <c r="A83" s="8" t="n">
        <v>79</v>
      </c>
      <c r="B83" s="8" t="s">
        <v>125</v>
      </c>
      <c r="C83" s="8" t="s">
        <v>134</v>
      </c>
      <c r="D83" s="8"/>
      <c r="E83" s="8"/>
      <c r="F83" s="8"/>
      <c r="G83" s="8"/>
    </row>
    <row r="84" customFormat="false" ht="15" hidden="false" customHeight="false" outlineLevel="0" collapsed="false">
      <c r="A84" s="8" t="n">
        <v>80</v>
      </c>
      <c r="B84" s="8" t="s">
        <v>125</v>
      </c>
      <c r="C84" s="8" t="s">
        <v>135</v>
      </c>
      <c r="D84" s="8"/>
      <c r="E84" s="8"/>
      <c r="F84" s="8"/>
      <c r="G84" s="8"/>
    </row>
    <row r="85" customFormat="false" ht="15" hidden="false" customHeight="false" outlineLevel="0" collapsed="false">
      <c r="A85" s="9" t="n">
        <v>81</v>
      </c>
      <c r="B85" s="9" t="s">
        <v>136</v>
      </c>
      <c r="C85" s="9" t="s">
        <v>137</v>
      </c>
      <c r="D85" s="9"/>
      <c r="E85" s="9"/>
      <c r="F85" s="9"/>
      <c r="G85" s="9"/>
    </row>
    <row r="86" customFormat="false" ht="15" hidden="false" customHeight="false" outlineLevel="0" collapsed="false">
      <c r="A86" s="9" t="n">
        <v>82</v>
      </c>
      <c r="B86" s="9" t="s">
        <v>136</v>
      </c>
      <c r="C86" s="9" t="s">
        <v>138</v>
      </c>
      <c r="D86" s="9"/>
      <c r="E86" s="9"/>
      <c r="F86" s="9"/>
      <c r="G86" s="9"/>
    </row>
    <row r="87" customFormat="false" ht="15" hidden="false" customHeight="false" outlineLevel="0" collapsed="false">
      <c r="A87" s="9" t="n">
        <v>83</v>
      </c>
      <c r="B87" s="9" t="s">
        <v>136</v>
      </c>
      <c r="C87" s="9" t="s">
        <v>139</v>
      </c>
      <c r="D87" s="9"/>
      <c r="E87" s="9"/>
      <c r="F87" s="9"/>
      <c r="G87" s="9"/>
    </row>
    <row r="88" customFormat="false" ht="15" hidden="false" customHeight="false" outlineLevel="0" collapsed="false">
      <c r="A88" s="9" t="n">
        <v>84</v>
      </c>
      <c r="B88" s="9" t="s">
        <v>136</v>
      </c>
      <c r="C88" s="9" t="s">
        <v>140</v>
      </c>
      <c r="D88" s="9"/>
      <c r="E88" s="9"/>
      <c r="F88" s="9"/>
      <c r="G88" s="9"/>
    </row>
    <row r="89" customFormat="false" ht="15" hidden="false" customHeight="false" outlineLevel="0" collapsed="false">
      <c r="A89" s="9" t="n">
        <v>85</v>
      </c>
      <c r="B89" s="9" t="s">
        <v>136</v>
      </c>
      <c r="C89" s="9" t="s">
        <v>141</v>
      </c>
      <c r="D89" s="9"/>
      <c r="E89" s="9"/>
      <c r="F89" s="9"/>
      <c r="G89" s="9"/>
    </row>
    <row r="92" customFormat="false" ht="15" hidden="false" customHeight="false" outlineLevel="0" collapsed="false">
      <c r="A92" s="4" t="s">
        <v>142</v>
      </c>
    </row>
    <row r="93" customFormat="false" ht="15" hidden="false" customHeight="false" outlineLevel="0" collapsed="false">
      <c r="A93" s="4" t="s">
        <v>143</v>
      </c>
      <c r="B93" s="10" t="n">
        <f aca="false">COUNTA(C5:C89)</f>
        <v>85</v>
      </c>
    </row>
    <row r="94" customFormat="false" ht="15" hidden="false" customHeight="false" outlineLevel="0" collapsed="false">
      <c r="A94" s="4" t="s">
        <v>144</v>
      </c>
      <c r="B94" s="10" t="n">
        <f aca="false">COUNTIF(E5:E89,"Verified")</f>
        <v>0</v>
      </c>
    </row>
    <row r="95" customFormat="false" ht="15" hidden="false" customHeight="false" outlineLevel="0" collapsed="false">
      <c r="A95" s="4" t="s">
        <v>145</v>
      </c>
      <c r="B95" s="10" t="n">
        <f aca="false">COUNTIF(E5:E89,"Gap")</f>
        <v>0</v>
      </c>
    </row>
    <row r="96" customFormat="false" ht="15" hidden="false" customHeight="false" outlineLevel="0" collapsed="false">
      <c r="A96" s="4" t="s">
        <v>146</v>
      </c>
      <c r="B96" s="10" t="n">
        <f aca="false">COUNTIF(E5:E89,"Rework")</f>
        <v>0</v>
      </c>
    </row>
    <row r="97" customFormat="false" ht="15" hidden="false" customHeight="false" outlineLevel="0" collapsed="false">
      <c r="A97" s="4" t="s">
        <v>147</v>
      </c>
      <c r="B97" s="11" t="n">
        <f aca="false">IFERROR(B94/B93,0)</f>
        <v>0</v>
      </c>
    </row>
  </sheetData>
  <mergeCells count="3">
    <mergeCell ref="A1:G1"/>
    <mergeCell ref="A2:G2"/>
    <mergeCell ref="A3:G3"/>
  </mergeCells>
  <conditionalFormatting sqref="E5:E200">
    <cfRule type="expression" priority="2" aboveAverage="0" equalAverage="0" bottom="0" percent="0" rank="0" text="" dxfId="0">
      <formula>$E5="Verified"</formula>
    </cfRule>
    <cfRule type="expression" priority="3" aboveAverage="0" equalAverage="0" bottom="0" percent="0" rank="0" text="" dxfId="1">
      <formula>$E5="Gap"</formula>
    </cfRule>
    <cfRule type="expression" priority="4" aboveAverage="0" equalAverage="0" bottom="0" percent="0" rank="0" text="" dxfId="2">
      <formula>$E5="Rework"</formula>
    </cfRule>
  </conditionalFormatting>
  <dataValidations count="1">
    <dataValidation allowBlank="true" errorStyle="stop" operator="between" showDropDown="false" showErrorMessage="false" showInputMessage="false" sqref="E5:E200" type="list">
      <formula1>"Not Started,In Review,Verified,Gap,Rework"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9" min="8" style="0" width="18"/>
    <col collapsed="false" customWidth="true" hidden="false" outlineLevel="0" max="11" min="10" style="0" width="14"/>
  </cols>
  <sheetData>
    <row r="1" customFormat="false" ht="24" hidden="false" customHeight="true" outlineLevel="0" collapsed="false">
      <c r="A1" s="5" t="s">
        <v>148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false" outlineLevel="0" collapsed="false">
      <c r="A2" s="6" t="s">
        <v>149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customFormat="false" ht="15" hidden="false" customHeight="false" outlineLevel="0" collapsed="false">
      <c r="A3" s="6" t="s">
        <v>150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customFormat="false" ht="31.5" hidden="false" customHeight="true" outlineLevel="0" collapsed="false">
      <c r="A4" s="7" t="s">
        <v>151</v>
      </c>
      <c r="B4" s="7" t="s">
        <v>41</v>
      </c>
      <c r="C4" s="7" t="s">
        <v>152</v>
      </c>
      <c r="D4" s="7" t="s">
        <v>153</v>
      </c>
      <c r="E4" s="7" t="s">
        <v>154</v>
      </c>
      <c r="F4" s="7" t="s">
        <v>155</v>
      </c>
      <c r="G4" s="7" t="s">
        <v>156</v>
      </c>
      <c r="H4" s="7" t="s">
        <v>157</v>
      </c>
      <c r="I4" s="7" t="s">
        <v>43</v>
      </c>
      <c r="J4" s="7" t="s">
        <v>158</v>
      </c>
      <c r="K4" s="7" t="s">
        <v>44</v>
      </c>
    </row>
    <row r="5" customFormat="false" ht="46.25" hidden="false" customHeight="false" outlineLevel="0" collapsed="false">
      <c r="A5" s="9" t="s">
        <v>159</v>
      </c>
      <c r="B5" s="9" t="s">
        <v>92</v>
      </c>
      <c r="C5" s="9" t="s">
        <v>160</v>
      </c>
      <c r="D5" s="9" t="s">
        <v>161</v>
      </c>
      <c r="E5" s="9" t="s">
        <v>162</v>
      </c>
      <c r="F5" s="9" t="s">
        <v>163</v>
      </c>
      <c r="G5" s="9" t="s">
        <v>164</v>
      </c>
      <c r="H5" s="9" t="s">
        <v>165</v>
      </c>
      <c r="I5" s="9" t="s">
        <v>166</v>
      </c>
      <c r="J5" s="12"/>
      <c r="K5" s="9" t="s">
        <v>167</v>
      </c>
    </row>
    <row r="6" customFormat="false" ht="35.05" hidden="false" customHeight="false" outlineLevel="0" collapsed="false">
      <c r="A6" s="9" t="s">
        <v>168</v>
      </c>
      <c r="B6" s="9" t="s">
        <v>71</v>
      </c>
      <c r="C6" s="9" t="s">
        <v>169</v>
      </c>
      <c r="D6" s="9" t="s">
        <v>170</v>
      </c>
      <c r="E6" s="9" t="s">
        <v>162</v>
      </c>
      <c r="F6" s="9" t="s">
        <v>171</v>
      </c>
      <c r="G6" s="9" t="s">
        <v>172</v>
      </c>
      <c r="H6" s="9" t="s">
        <v>165</v>
      </c>
      <c r="I6" s="9" t="s">
        <v>173</v>
      </c>
      <c r="J6" s="12"/>
      <c r="K6" s="9" t="s">
        <v>167</v>
      </c>
    </row>
    <row r="7" customFormat="false" ht="35.05" hidden="false" customHeight="false" outlineLevel="0" collapsed="false">
      <c r="A7" s="9" t="s">
        <v>174</v>
      </c>
      <c r="B7" s="9" t="s">
        <v>116</v>
      </c>
      <c r="C7" s="9" t="s">
        <v>175</v>
      </c>
      <c r="D7" s="9" t="s">
        <v>176</v>
      </c>
      <c r="E7" s="9" t="s">
        <v>177</v>
      </c>
      <c r="F7" s="9" t="s">
        <v>178</v>
      </c>
      <c r="G7" s="9" t="s">
        <v>164</v>
      </c>
      <c r="H7" s="9" t="s">
        <v>179</v>
      </c>
      <c r="I7" s="9" t="s">
        <v>180</v>
      </c>
      <c r="J7" s="12"/>
      <c r="K7" s="9" t="s">
        <v>167</v>
      </c>
    </row>
    <row r="8" customFormat="false" ht="35.05" hidden="false" customHeight="false" outlineLevel="0" collapsed="false">
      <c r="A8" s="9" t="s">
        <v>181</v>
      </c>
      <c r="B8" s="9" t="s">
        <v>105</v>
      </c>
      <c r="C8" s="9" t="s">
        <v>182</v>
      </c>
      <c r="D8" s="9" t="s">
        <v>183</v>
      </c>
      <c r="E8" s="9" t="s">
        <v>177</v>
      </c>
      <c r="F8" s="9" t="s">
        <v>184</v>
      </c>
      <c r="G8" s="9" t="s">
        <v>164</v>
      </c>
      <c r="H8" s="9" t="s">
        <v>165</v>
      </c>
      <c r="I8" s="9" t="s">
        <v>185</v>
      </c>
      <c r="J8" s="12"/>
      <c r="K8" s="9" t="s">
        <v>167</v>
      </c>
    </row>
    <row r="9" customFormat="false" ht="23.85" hidden="false" customHeight="false" outlineLevel="0" collapsed="false">
      <c r="A9" s="9" t="s">
        <v>186</v>
      </c>
      <c r="B9" s="9" t="s">
        <v>125</v>
      </c>
      <c r="C9" s="9" t="s">
        <v>187</v>
      </c>
      <c r="D9" s="9" t="s">
        <v>188</v>
      </c>
      <c r="E9" s="9" t="s">
        <v>177</v>
      </c>
      <c r="F9" s="9" t="s">
        <v>189</v>
      </c>
      <c r="G9" s="9" t="s">
        <v>190</v>
      </c>
      <c r="H9" s="9" t="s">
        <v>165</v>
      </c>
      <c r="I9" s="9" t="s">
        <v>191</v>
      </c>
      <c r="J9" s="12"/>
      <c r="K9" s="9" t="s">
        <v>167</v>
      </c>
    </row>
    <row r="10" customFormat="false" ht="23.85" hidden="false" customHeight="false" outlineLevel="0" collapsed="false">
      <c r="A10" s="9" t="s">
        <v>192</v>
      </c>
      <c r="B10" s="9" t="s">
        <v>136</v>
      </c>
      <c r="C10" s="9" t="s">
        <v>193</v>
      </c>
      <c r="D10" s="9" t="s">
        <v>194</v>
      </c>
      <c r="E10" s="9" t="s">
        <v>195</v>
      </c>
      <c r="F10" s="9" t="s">
        <v>196</v>
      </c>
      <c r="G10" s="9" t="s">
        <v>172</v>
      </c>
      <c r="H10" s="9" t="s">
        <v>179</v>
      </c>
      <c r="I10" s="9" t="s">
        <v>197</v>
      </c>
      <c r="J10" s="12"/>
      <c r="K10" s="9" t="s">
        <v>167</v>
      </c>
    </row>
    <row r="11" customFormat="false" ht="23.85" hidden="false" customHeight="false" outlineLevel="0" collapsed="false">
      <c r="A11" s="9" t="s">
        <v>198</v>
      </c>
      <c r="B11" s="9" t="s">
        <v>63</v>
      </c>
      <c r="C11" s="9" t="s">
        <v>199</v>
      </c>
      <c r="D11" s="9" t="s">
        <v>200</v>
      </c>
      <c r="E11" s="9" t="s">
        <v>177</v>
      </c>
      <c r="F11" s="9" t="s">
        <v>201</v>
      </c>
      <c r="G11" s="9" t="s">
        <v>164</v>
      </c>
      <c r="H11" s="9" t="s">
        <v>202</v>
      </c>
      <c r="I11" s="9" t="s">
        <v>203</v>
      </c>
      <c r="J11" s="12"/>
      <c r="K11" s="9" t="s">
        <v>167</v>
      </c>
    </row>
    <row r="12" customFormat="false" ht="23.85" hidden="false" customHeight="false" outlineLevel="0" collapsed="false">
      <c r="A12" s="9" t="s">
        <v>204</v>
      </c>
      <c r="B12" s="9" t="s">
        <v>55</v>
      </c>
      <c r="C12" s="9" t="s">
        <v>205</v>
      </c>
      <c r="D12" s="9" t="s">
        <v>206</v>
      </c>
      <c r="E12" s="9" t="s">
        <v>195</v>
      </c>
      <c r="F12" s="9" t="s">
        <v>207</v>
      </c>
      <c r="G12" s="9" t="s">
        <v>164</v>
      </c>
      <c r="H12" s="9" t="s">
        <v>179</v>
      </c>
      <c r="I12" s="9" t="s">
        <v>208</v>
      </c>
      <c r="J12" s="12"/>
      <c r="K12" s="9" t="s">
        <v>167</v>
      </c>
    </row>
    <row r="13" customFormat="false" ht="23.85" hidden="false" customHeight="false" outlineLevel="0" collapsed="false">
      <c r="A13" s="9" t="s">
        <v>209</v>
      </c>
      <c r="B13" s="9" t="s">
        <v>92</v>
      </c>
      <c r="C13" s="9" t="s">
        <v>210</v>
      </c>
      <c r="D13" s="9" t="s">
        <v>211</v>
      </c>
      <c r="E13" s="9" t="s">
        <v>177</v>
      </c>
      <c r="F13" s="9" t="s">
        <v>212</v>
      </c>
      <c r="G13" s="9" t="s">
        <v>190</v>
      </c>
      <c r="H13" s="9" t="s">
        <v>165</v>
      </c>
      <c r="I13" s="9" t="s">
        <v>166</v>
      </c>
      <c r="J13" s="12"/>
      <c r="K13" s="9" t="s">
        <v>167</v>
      </c>
    </row>
    <row r="14" customFormat="false" ht="23.85" hidden="false" customHeight="false" outlineLevel="0" collapsed="false">
      <c r="A14" s="9" t="s">
        <v>213</v>
      </c>
      <c r="B14" s="9" t="s">
        <v>82</v>
      </c>
      <c r="C14" s="9" t="s">
        <v>214</v>
      </c>
      <c r="D14" s="9" t="s">
        <v>215</v>
      </c>
      <c r="E14" s="9" t="s">
        <v>177</v>
      </c>
      <c r="F14" s="9" t="s">
        <v>216</v>
      </c>
      <c r="G14" s="9" t="s">
        <v>164</v>
      </c>
      <c r="H14" s="9" t="s">
        <v>165</v>
      </c>
      <c r="I14" s="9" t="s">
        <v>217</v>
      </c>
      <c r="J14" s="12"/>
      <c r="K14" s="9" t="s">
        <v>167</v>
      </c>
    </row>
    <row r="15" customFormat="false" ht="23.85" hidden="false" customHeight="false" outlineLevel="0" collapsed="false">
      <c r="A15" s="9" t="s">
        <v>218</v>
      </c>
      <c r="B15" s="9" t="s">
        <v>71</v>
      </c>
      <c r="C15" s="9" t="s">
        <v>219</v>
      </c>
      <c r="D15" s="9" t="s">
        <v>220</v>
      </c>
      <c r="E15" s="9" t="s">
        <v>195</v>
      </c>
      <c r="F15" s="9" t="s">
        <v>221</v>
      </c>
      <c r="G15" s="9" t="s">
        <v>190</v>
      </c>
      <c r="H15" s="9" t="s">
        <v>179</v>
      </c>
      <c r="I15" s="9" t="s">
        <v>222</v>
      </c>
      <c r="J15" s="12"/>
      <c r="K15" s="9" t="s">
        <v>167</v>
      </c>
    </row>
    <row r="16" customFormat="false" ht="35.05" hidden="false" customHeight="false" outlineLevel="0" collapsed="false">
      <c r="A16" s="9" t="s">
        <v>223</v>
      </c>
      <c r="B16" s="9" t="s">
        <v>125</v>
      </c>
      <c r="C16" s="9" t="s">
        <v>224</v>
      </c>
      <c r="D16" s="9" t="s">
        <v>225</v>
      </c>
      <c r="E16" s="9" t="s">
        <v>177</v>
      </c>
      <c r="F16" s="9" t="s">
        <v>226</v>
      </c>
      <c r="G16" s="9" t="s">
        <v>190</v>
      </c>
      <c r="H16" s="9" t="s">
        <v>165</v>
      </c>
      <c r="I16" s="9" t="s">
        <v>227</v>
      </c>
      <c r="J16" s="12"/>
      <c r="K16" s="9" t="s">
        <v>167</v>
      </c>
    </row>
    <row r="19" customFormat="false" ht="15" hidden="false" customHeight="false" outlineLevel="0" collapsed="false">
      <c r="A19" s="13" t="s">
        <v>142</v>
      </c>
    </row>
    <row r="20" customFormat="false" ht="15" hidden="false" customHeight="false" outlineLevel="0" collapsed="false">
      <c r="A20" s="4" t="s">
        <v>228</v>
      </c>
      <c r="B20" s="0" t="n">
        <f aca="false">COUNTA(A5:A200)-COUNTIF(A5:A200,"")</f>
        <v>-152</v>
      </c>
    </row>
    <row r="21" customFormat="false" ht="15" hidden="false" customHeight="false" outlineLevel="0" collapsed="false">
      <c r="A21" s="4" t="s">
        <v>229</v>
      </c>
      <c r="B21" s="0" t="n">
        <f aca="false">COUNTIF(E5:E200,"CRITICAL")</f>
        <v>2</v>
      </c>
    </row>
    <row r="22" customFormat="false" ht="15" hidden="false" customHeight="false" outlineLevel="0" collapsed="false">
      <c r="A22" s="4" t="s">
        <v>230</v>
      </c>
      <c r="B22" s="0" t="n">
        <f aca="false">COUNTIF(E5:E200,"HIGH")</f>
        <v>7</v>
      </c>
    </row>
    <row r="23" customFormat="false" ht="15" hidden="false" customHeight="false" outlineLevel="0" collapsed="false">
      <c r="A23" s="4" t="s">
        <v>231</v>
      </c>
      <c r="B23" s="0" t="n">
        <f aca="false">COUNTIF(E5:E200,"MEDIUM")</f>
        <v>3</v>
      </c>
    </row>
    <row r="24" customFormat="false" ht="15" hidden="false" customHeight="false" outlineLevel="0" collapsed="false">
      <c r="A24" s="4" t="s">
        <v>232</v>
      </c>
      <c r="B24" s="0" t="n">
        <f aca="false">COUNTIF(E5:E200,"LOW")</f>
        <v>0</v>
      </c>
    </row>
    <row r="25" customFormat="false" ht="15" hidden="false" customHeight="false" outlineLevel="0" collapsed="false">
      <c r="A25" s="4" t="s">
        <v>233</v>
      </c>
      <c r="B25" s="0" t="n">
        <f aca="false">COUNTIF(K5:K200,"Open")</f>
        <v>12</v>
      </c>
    </row>
    <row r="26" customFormat="false" ht="15" hidden="false" customHeight="false" outlineLevel="0" collapsed="false">
      <c r="A26" s="4" t="s">
        <v>234</v>
      </c>
      <c r="B26" s="0" t="n">
        <f aca="false">COUNTIF(K5:K200,"In Progress")</f>
        <v>0</v>
      </c>
    </row>
    <row r="27" customFormat="false" ht="15" hidden="false" customHeight="false" outlineLevel="0" collapsed="false">
      <c r="A27" s="4" t="s">
        <v>235</v>
      </c>
      <c r="B27" s="0" t="n">
        <f aca="false">COUNTIF(K5:K200,"Closed")</f>
        <v>0</v>
      </c>
    </row>
    <row r="28" customFormat="false" ht="15" hidden="false" customHeight="false" outlineLevel="0" collapsed="false">
      <c r="A28" s="4" t="s">
        <v>236</v>
      </c>
      <c r="B28" s="0" t="n">
        <f aca="false">COUNTIFS(E5:E200,"CRITICAL",K5:K200,"Open")+COUNTIFS(E5:E200,"CRITICAL",K5:K200,"In Progress")</f>
        <v>2</v>
      </c>
    </row>
  </sheetData>
  <mergeCells count="3">
    <mergeCell ref="A1:K1"/>
    <mergeCell ref="A2:K2"/>
    <mergeCell ref="A3:K3"/>
  </mergeCells>
  <conditionalFormatting sqref="E5:E200">
    <cfRule type="expression" priority="2" aboveAverage="0" equalAverage="0" bottom="0" percent="0" rank="0" text="" dxfId="3">
      <formula>$E5="CRITICAL"</formula>
    </cfRule>
    <cfRule type="expression" priority="3" aboveAverage="0" equalAverage="0" bottom="0" percent="0" rank="0" text="" dxfId="4">
      <formula>$E5="HIGH"</formula>
    </cfRule>
    <cfRule type="expression" priority="4" aboveAverage="0" equalAverage="0" bottom="0" percent="0" rank="0" text="" dxfId="1">
      <formula>$E5="MEDIUM"</formula>
    </cfRule>
    <cfRule type="expression" priority="5" aboveAverage="0" equalAverage="0" bottom="0" percent="0" rank="0" text="" dxfId="0">
      <formula>$E5="LOW"</formula>
    </cfRule>
  </conditionalFormatting>
  <dataValidations count="5">
    <dataValidation allowBlank="true" errorStyle="stop" operator="between" showDropDown="false" showErrorMessage="false" showInputMessage="false" sqref="B5:B200" type="list">
      <formula1>"Feature Catalog,Functional Requirements,Business Rules,NFRs,System Inventory,Integration Depth,Data Model,State Machines,Operational &amp; Edge,Domain Coverage"</formula1>
      <formula2>0</formula2>
    </dataValidation>
    <dataValidation allowBlank="true" errorStyle="stop" operator="between" showDropDown="false" showErrorMessage="false" showInputMessage="false" sqref="E5:E200" type="list">
      <formula1>"CRITICAL,HIGH,MEDIUM,LOW"</formula1>
      <formula2>0</formula2>
    </dataValidation>
    <dataValidation allowBlank="true" errorStyle="stop" operator="between" showDropDown="false" showErrorMessage="false" showInputMessage="false" sqref="G5:G200" type="list">
      <formula1>"S,M,L,XL"</formula1>
      <formula2>0</formula2>
    </dataValidation>
    <dataValidation allowBlank="true" errorStyle="stop" operator="between" showDropDown="false" showErrorMessage="false" showInputMessage="false" sqref="H5:H200" type="list">
      <formula1>"Close Now,Defer to Design,Defer to Build,Accept Risk"</formula1>
      <formula2>0</formula2>
    </dataValidation>
    <dataValidation allowBlank="true" errorStyle="stop" operator="between" showDropDown="false" showErrorMessage="false" showInputMessage="false" sqref="K5:K200" type="list">
      <formula1>"Open,In Progress,Closed,Accepted"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8"/>
  </cols>
  <sheetData>
    <row r="1" customFormat="false" ht="24" hidden="false" customHeight="true" outlineLevel="0" collapsed="false">
      <c r="A1" s="5" t="s">
        <v>237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238</v>
      </c>
      <c r="B2" s="6"/>
      <c r="C2" s="6"/>
      <c r="D2" s="6"/>
      <c r="E2" s="6"/>
      <c r="F2" s="6"/>
      <c r="G2" s="6"/>
      <c r="H2" s="6"/>
      <c r="I2" s="6"/>
    </row>
    <row r="3" customFormat="false" ht="15" hidden="false" customHeight="false" outlineLevel="0" collapsed="false">
      <c r="A3" s="6" t="s">
        <v>239</v>
      </c>
      <c r="B3" s="6"/>
      <c r="C3" s="6"/>
      <c r="D3" s="6"/>
      <c r="E3" s="6"/>
      <c r="F3" s="6"/>
      <c r="G3" s="6"/>
      <c r="H3" s="6"/>
      <c r="I3" s="6"/>
    </row>
    <row r="4" customFormat="false" ht="31.5" hidden="false" customHeight="true" outlineLevel="0" collapsed="false">
      <c r="A4" s="7" t="s">
        <v>240</v>
      </c>
      <c r="B4" s="7" t="s">
        <v>241</v>
      </c>
      <c r="C4" s="7" t="s">
        <v>242</v>
      </c>
      <c r="D4" s="7" t="s">
        <v>243</v>
      </c>
      <c r="E4" s="7" t="s">
        <v>244</v>
      </c>
      <c r="F4" s="7" t="s">
        <v>245</v>
      </c>
      <c r="G4" s="7" t="s">
        <v>246</v>
      </c>
      <c r="H4" s="7" t="s">
        <v>247</v>
      </c>
      <c r="I4" s="7" t="s">
        <v>46</v>
      </c>
    </row>
    <row r="5" customFormat="false" ht="15" hidden="false" customHeight="false" outlineLevel="0" collapsed="false">
      <c r="A5" s="9" t="s">
        <v>248</v>
      </c>
      <c r="B5" s="9" t="s">
        <v>249</v>
      </c>
      <c r="C5" s="9" t="s">
        <v>250</v>
      </c>
      <c r="D5" s="9" t="s">
        <v>251</v>
      </c>
      <c r="E5" s="9" t="s">
        <v>252</v>
      </c>
      <c r="F5" s="9" t="s">
        <v>253</v>
      </c>
      <c r="G5" s="12"/>
      <c r="H5" s="9" t="s">
        <v>254</v>
      </c>
      <c r="I5" s="9"/>
    </row>
    <row r="6" customFormat="false" ht="15" hidden="false" customHeight="false" outlineLevel="0" collapsed="false">
      <c r="A6" s="9" t="s">
        <v>255</v>
      </c>
      <c r="B6" s="9" t="s">
        <v>256</v>
      </c>
      <c r="C6" s="9" t="s">
        <v>257</v>
      </c>
      <c r="D6" s="9" t="s">
        <v>258</v>
      </c>
      <c r="E6" s="9" t="s">
        <v>208</v>
      </c>
      <c r="F6" s="9" t="s">
        <v>253</v>
      </c>
      <c r="G6" s="12"/>
      <c r="H6" s="9" t="s">
        <v>254</v>
      </c>
      <c r="I6" s="9"/>
    </row>
    <row r="7" customFormat="false" ht="23.85" hidden="false" customHeight="false" outlineLevel="0" collapsed="false">
      <c r="A7" s="9" t="s">
        <v>259</v>
      </c>
      <c r="B7" s="9" t="s">
        <v>260</v>
      </c>
      <c r="C7" s="9" t="s">
        <v>261</v>
      </c>
      <c r="D7" s="9" t="s">
        <v>262</v>
      </c>
      <c r="E7" s="9" t="s">
        <v>173</v>
      </c>
      <c r="F7" s="9" t="s">
        <v>253</v>
      </c>
      <c r="G7" s="12"/>
      <c r="H7" s="9" t="s">
        <v>254</v>
      </c>
      <c r="I7" s="9" t="s">
        <v>263</v>
      </c>
    </row>
    <row r="8" customFormat="false" ht="15" hidden="false" customHeight="false" outlineLevel="0" collapsed="false">
      <c r="A8" s="9" t="s">
        <v>264</v>
      </c>
      <c r="B8" s="9" t="s">
        <v>265</v>
      </c>
      <c r="C8" s="9" t="s">
        <v>250</v>
      </c>
      <c r="D8" s="9" t="s">
        <v>266</v>
      </c>
      <c r="E8" s="9" t="s">
        <v>173</v>
      </c>
      <c r="F8" s="9" t="s">
        <v>267</v>
      </c>
      <c r="G8" s="12"/>
      <c r="H8" s="9" t="s">
        <v>254</v>
      </c>
      <c r="I8" s="9" t="s">
        <v>268</v>
      </c>
    </row>
    <row r="9" customFormat="false" ht="15" hidden="false" customHeight="false" outlineLevel="0" collapsed="false">
      <c r="A9" s="9" t="s">
        <v>269</v>
      </c>
      <c r="B9" s="9" t="s">
        <v>82</v>
      </c>
      <c r="C9" s="9" t="s">
        <v>270</v>
      </c>
      <c r="D9" s="9" t="s">
        <v>271</v>
      </c>
      <c r="E9" s="9" t="s">
        <v>166</v>
      </c>
      <c r="F9" s="9" t="s">
        <v>267</v>
      </c>
      <c r="G9" s="12"/>
      <c r="H9" s="9" t="s">
        <v>254</v>
      </c>
      <c r="I9" s="9"/>
    </row>
    <row r="10" customFormat="false" ht="23.85" hidden="false" customHeight="false" outlineLevel="0" collapsed="false">
      <c r="A10" s="9" t="s">
        <v>272</v>
      </c>
      <c r="B10" s="9" t="s">
        <v>273</v>
      </c>
      <c r="C10" s="9" t="s">
        <v>274</v>
      </c>
      <c r="D10" s="9" t="s">
        <v>275</v>
      </c>
      <c r="E10" s="9" t="s">
        <v>166</v>
      </c>
      <c r="F10" s="9" t="s">
        <v>253</v>
      </c>
      <c r="G10" s="12"/>
      <c r="H10" s="9" t="s">
        <v>254</v>
      </c>
      <c r="I10" s="9" t="s">
        <v>276</v>
      </c>
    </row>
    <row r="11" customFormat="false" ht="15" hidden="false" customHeight="false" outlineLevel="0" collapsed="false">
      <c r="A11" s="9" t="s">
        <v>277</v>
      </c>
      <c r="B11" s="9" t="s">
        <v>278</v>
      </c>
      <c r="C11" s="9" t="s">
        <v>270</v>
      </c>
      <c r="D11" s="9" t="s">
        <v>279</v>
      </c>
      <c r="E11" s="9" t="s">
        <v>185</v>
      </c>
      <c r="F11" s="9" t="s">
        <v>267</v>
      </c>
      <c r="G11" s="12"/>
      <c r="H11" s="9" t="s">
        <v>254</v>
      </c>
      <c r="I11" s="9"/>
    </row>
    <row r="12" customFormat="false" ht="15" hidden="false" customHeight="false" outlineLevel="0" collapsed="false">
      <c r="A12" s="9" t="s">
        <v>280</v>
      </c>
      <c r="B12" s="9" t="s">
        <v>281</v>
      </c>
      <c r="C12" s="9" t="s">
        <v>282</v>
      </c>
      <c r="D12" s="9" t="s">
        <v>283</v>
      </c>
      <c r="E12" s="9" t="s">
        <v>191</v>
      </c>
      <c r="F12" s="9" t="s">
        <v>253</v>
      </c>
      <c r="G12" s="12"/>
      <c r="H12" s="9" t="s">
        <v>254</v>
      </c>
      <c r="I12" s="9"/>
    </row>
    <row r="13" customFormat="false" ht="15" hidden="false" customHeight="false" outlineLevel="0" collapsed="false">
      <c r="A13" s="9" t="s">
        <v>284</v>
      </c>
      <c r="B13" s="9" t="s">
        <v>285</v>
      </c>
      <c r="C13" s="9" t="s">
        <v>286</v>
      </c>
      <c r="D13" s="9" t="s">
        <v>287</v>
      </c>
      <c r="E13" s="9" t="s">
        <v>288</v>
      </c>
      <c r="F13" s="9" t="s">
        <v>289</v>
      </c>
      <c r="G13" s="12"/>
      <c r="H13" s="9" t="s">
        <v>254</v>
      </c>
      <c r="I13" s="9" t="s">
        <v>290</v>
      </c>
    </row>
    <row r="14" customFormat="false" ht="15" hidden="false" customHeight="false" outlineLevel="0" collapsed="false">
      <c r="A14" s="9" t="s">
        <v>291</v>
      </c>
      <c r="B14" s="9" t="s">
        <v>292</v>
      </c>
      <c r="C14" s="9" t="s">
        <v>293</v>
      </c>
      <c r="D14" s="9" t="s">
        <v>294</v>
      </c>
      <c r="E14" s="9" t="s">
        <v>288</v>
      </c>
      <c r="F14" s="9" t="s">
        <v>289</v>
      </c>
      <c r="G14" s="12"/>
      <c r="H14" s="9" t="s">
        <v>254</v>
      </c>
      <c r="I14" s="9" t="s">
        <v>290</v>
      </c>
    </row>
    <row r="15" customFormat="false" ht="15" hidden="false" customHeight="false" outlineLevel="0" collapsed="false">
      <c r="A15" s="9" t="s">
        <v>295</v>
      </c>
      <c r="B15" s="9" t="s">
        <v>296</v>
      </c>
      <c r="C15" s="9" t="s">
        <v>297</v>
      </c>
      <c r="D15" s="9" t="s">
        <v>298</v>
      </c>
      <c r="E15" s="9" t="s">
        <v>299</v>
      </c>
      <c r="F15" s="9" t="s">
        <v>253</v>
      </c>
      <c r="G15" s="12"/>
      <c r="H15" s="9" t="s">
        <v>254</v>
      </c>
      <c r="I15" s="9"/>
    </row>
    <row r="16" customFormat="false" ht="15" hidden="false" customHeight="false" outlineLevel="0" collapsed="false">
      <c r="A16" s="9" t="s">
        <v>300</v>
      </c>
      <c r="B16" s="9" t="s">
        <v>301</v>
      </c>
      <c r="C16" s="9" t="s">
        <v>274</v>
      </c>
      <c r="D16" s="9" t="s">
        <v>302</v>
      </c>
      <c r="E16" s="9" t="s">
        <v>303</v>
      </c>
      <c r="F16" s="9" t="s">
        <v>289</v>
      </c>
      <c r="G16" s="12"/>
      <c r="H16" s="9" t="s">
        <v>254</v>
      </c>
      <c r="I16" s="9"/>
    </row>
    <row r="17" customFormat="false" ht="15" hidden="false" customHeight="false" outlineLevel="0" collapsed="false">
      <c r="A17" s="9" t="s">
        <v>304</v>
      </c>
      <c r="B17" s="9" t="s">
        <v>305</v>
      </c>
      <c r="C17" s="9" t="s">
        <v>306</v>
      </c>
      <c r="D17" s="9" t="s">
        <v>307</v>
      </c>
      <c r="E17" s="9" t="s">
        <v>173</v>
      </c>
      <c r="F17" s="9" t="s">
        <v>253</v>
      </c>
      <c r="G17" s="12"/>
      <c r="H17" s="9" t="s">
        <v>254</v>
      </c>
      <c r="I17" s="9"/>
    </row>
    <row r="18" customFormat="false" ht="23.85" hidden="false" customHeight="false" outlineLevel="0" collapsed="false">
      <c r="A18" s="9" t="s">
        <v>308</v>
      </c>
      <c r="B18" s="9" t="s">
        <v>309</v>
      </c>
      <c r="C18" s="9" t="s">
        <v>274</v>
      </c>
      <c r="D18" s="9" t="s">
        <v>310</v>
      </c>
      <c r="E18" s="9" t="s">
        <v>311</v>
      </c>
      <c r="F18" s="9" t="s">
        <v>253</v>
      </c>
      <c r="G18" s="12"/>
      <c r="H18" s="9" t="s">
        <v>254</v>
      </c>
      <c r="I18" s="9" t="s">
        <v>312</v>
      </c>
    </row>
  </sheetData>
  <mergeCells count="3">
    <mergeCell ref="A1:I1"/>
    <mergeCell ref="A2:I2"/>
    <mergeCell ref="A3:I3"/>
  </mergeCells>
  <conditionalFormatting sqref="F5:F100">
    <cfRule type="expression" priority="2" aboveAverage="0" equalAverage="0" bottom="0" percent="0" rank="0" text="" dxfId="0">
      <formula>$F5="Verified"</formula>
    </cfRule>
    <cfRule type="expression" priority="3" aboveAverage="0" equalAverage="0" bottom="0" percent="0" rank="0" text="" dxfId="1">
      <formula>$F5="Gaps Found"</formula>
    </cfRule>
    <cfRule type="expression" priority="4" aboveAverage="0" equalAverage="0" bottom="0" percent="0" rank="0" text="" dxfId="2">
      <formula>$F5="Rework Required"</formula>
    </cfRule>
  </conditionalFormatting>
  <dataValidations count="2">
    <dataValidation allowBlank="true" errorStyle="stop" operator="between" showDropDown="false" showErrorMessage="false" showInputMessage="false" sqref="C5:C100" type="list">
      <formula1>"Catalog,Requirements,Register,Inventory,Map,Use Cases,Personas,Design,Glossary,Log,Other"</formula1>
      <formula2>0</formula2>
    </dataValidation>
    <dataValidation allowBlank="true" errorStyle="stop" operator="between" showDropDown="false" showErrorMessage="false" showInputMessage="false" sqref="F5:F100" type="list">
      <formula1>"Not Started,In Review,Gaps Found,Verified,Rework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26"/>
  </cols>
  <sheetData>
    <row r="1" customFormat="false" ht="24" hidden="false" customHeight="true" outlineLevel="0" collapsed="false">
      <c r="A1" s="5" t="s">
        <v>313</v>
      </c>
      <c r="B1" s="5"/>
      <c r="C1" s="5"/>
      <c r="D1" s="5"/>
      <c r="E1" s="5"/>
      <c r="F1" s="5"/>
      <c r="G1" s="5"/>
    </row>
    <row r="2" customFormat="false" ht="15" hidden="false" customHeight="false" outlineLevel="0" collapsed="false">
      <c r="A2" s="6" t="s">
        <v>314</v>
      </c>
      <c r="B2" s="6"/>
      <c r="C2" s="6"/>
      <c r="D2" s="6"/>
      <c r="E2" s="6"/>
      <c r="F2" s="6"/>
      <c r="G2" s="6"/>
    </row>
    <row r="3" customFormat="false" ht="15" hidden="false" customHeight="false" outlineLevel="0" collapsed="false">
      <c r="A3" s="6" t="s">
        <v>315</v>
      </c>
      <c r="B3" s="6"/>
      <c r="C3" s="6"/>
      <c r="D3" s="6"/>
      <c r="E3" s="6"/>
      <c r="F3" s="6"/>
      <c r="G3" s="6"/>
    </row>
    <row r="4" customFormat="false" ht="31.5" hidden="false" customHeight="true" outlineLevel="0" collapsed="false">
      <c r="A4" s="7" t="s">
        <v>316</v>
      </c>
      <c r="B4" s="7" t="s">
        <v>317</v>
      </c>
      <c r="C4" s="7" t="s">
        <v>318</v>
      </c>
      <c r="D4" s="7" t="s">
        <v>319</v>
      </c>
      <c r="E4" s="7" t="s">
        <v>320</v>
      </c>
      <c r="F4" s="7" t="s">
        <v>321</v>
      </c>
      <c r="G4" s="7" t="s">
        <v>322</v>
      </c>
    </row>
    <row r="5" customFormat="false" ht="23.85" hidden="false" customHeight="false" outlineLevel="0" collapsed="false">
      <c r="A5" s="14" t="s">
        <v>323</v>
      </c>
      <c r="B5" s="9" t="s">
        <v>324</v>
      </c>
      <c r="C5" s="9"/>
      <c r="D5" s="9"/>
      <c r="E5" s="9"/>
      <c r="F5" s="9"/>
      <c r="G5" s="9"/>
    </row>
    <row r="6" customFormat="false" ht="23.85" hidden="false" customHeight="false" outlineLevel="0" collapsed="false">
      <c r="A6" s="14" t="s">
        <v>325</v>
      </c>
      <c r="B6" s="9" t="s">
        <v>326</v>
      </c>
      <c r="C6" s="9"/>
      <c r="D6" s="9"/>
      <c r="E6" s="9"/>
      <c r="F6" s="9"/>
      <c r="G6" s="9"/>
    </row>
    <row r="7" customFormat="false" ht="23.85" hidden="false" customHeight="false" outlineLevel="0" collapsed="false">
      <c r="A7" s="14" t="s">
        <v>327</v>
      </c>
      <c r="B7" s="9" t="s">
        <v>328</v>
      </c>
      <c r="C7" s="9"/>
      <c r="D7" s="9"/>
      <c r="E7" s="9"/>
      <c r="F7" s="9"/>
      <c r="G7" s="9"/>
    </row>
    <row r="8" customFormat="false" ht="23.85" hidden="false" customHeight="false" outlineLevel="0" collapsed="false">
      <c r="A8" s="14" t="s">
        <v>329</v>
      </c>
      <c r="B8" s="9" t="s">
        <v>330</v>
      </c>
      <c r="C8" s="9"/>
      <c r="D8" s="9"/>
      <c r="E8" s="9"/>
      <c r="F8" s="9"/>
      <c r="G8" s="9"/>
    </row>
    <row r="9" customFormat="false" ht="15" hidden="false" customHeight="false" outlineLevel="0" collapsed="false">
      <c r="A9" s="14" t="s">
        <v>331</v>
      </c>
      <c r="B9" s="9" t="s">
        <v>332</v>
      </c>
      <c r="C9" s="9"/>
      <c r="D9" s="9"/>
      <c r="E9" s="9"/>
      <c r="F9" s="9"/>
      <c r="G9" s="9"/>
    </row>
    <row r="10" customFormat="false" ht="23.85" hidden="false" customHeight="false" outlineLevel="0" collapsed="false">
      <c r="A10" s="14" t="s">
        <v>333</v>
      </c>
      <c r="B10" s="9" t="s">
        <v>334</v>
      </c>
      <c r="C10" s="9"/>
      <c r="D10" s="9"/>
      <c r="E10" s="9"/>
      <c r="F10" s="9"/>
      <c r="G10" s="9"/>
    </row>
    <row r="11" customFormat="false" ht="23.85" hidden="false" customHeight="false" outlineLevel="0" collapsed="false">
      <c r="A11" s="14" t="s">
        <v>335</v>
      </c>
      <c r="B11" s="9" t="s">
        <v>336</v>
      </c>
      <c r="C11" s="9"/>
      <c r="D11" s="9"/>
      <c r="E11" s="9"/>
      <c r="F11" s="9"/>
      <c r="G11" s="9"/>
    </row>
    <row r="12" customFormat="false" ht="23.85" hidden="false" customHeight="false" outlineLevel="0" collapsed="false">
      <c r="A12" s="14" t="s">
        <v>337</v>
      </c>
      <c r="B12" s="9" t="s">
        <v>338</v>
      </c>
      <c r="C12" s="9"/>
      <c r="D12" s="9"/>
      <c r="E12" s="9"/>
      <c r="F12" s="9"/>
      <c r="G12" s="9"/>
    </row>
    <row r="13" customFormat="false" ht="35.05" hidden="false" customHeight="false" outlineLevel="0" collapsed="false">
      <c r="A13" s="14" t="s">
        <v>339</v>
      </c>
      <c r="B13" s="9" t="s">
        <v>340</v>
      </c>
      <c r="C13" s="9"/>
      <c r="D13" s="9"/>
      <c r="E13" s="9"/>
      <c r="F13" s="9"/>
      <c r="G13" s="9"/>
    </row>
    <row r="14" customFormat="false" ht="23.85" hidden="false" customHeight="false" outlineLevel="0" collapsed="false">
      <c r="A14" s="14" t="s">
        <v>341</v>
      </c>
      <c r="B14" s="9" t="s">
        <v>342</v>
      </c>
      <c r="C14" s="9"/>
      <c r="D14" s="9"/>
      <c r="E14" s="9"/>
      <c r="F14" s="9"/>
      <c r="G14" s="9"/>
    </row>
    <row r="15" customFormat="false" ht="23.85" hidden="false" customHeight="false" outlineLevel="0" collapsed="false">
      <c r="A15" s="14" t="s">
        <v>343</v>
      </c>
      <c r="B15" s="9" t="s">
        <v>344</v>
      </c>
      <c r="C15" s="9"/>
      <c r="D15" s="9"/>
      <c r="E15" s="9"/>
      <c r="F15" s="9"/>
      <c r="G15" s="9"/>
    </row>
    <row r="16" customFormat="false" ht="35.05" hidden="false" customHeight="false" outlineLevel="0" collapsed="false">
      <c r="A16" s="14" t="s">
        <v>345</v>
      </c>
      <c r="B16" s="9" t="s">
        <v>346</v>
      </c>
      <c r="C16" s="9"/>
      <c r="D16" s="9"/>
      <c r="E16" s="9"/>
      <c r="F16" s="9"/>
      <c r="G16" s="9"/>
    </row>
    <row r="17" customFormat="false" ht="57.45" hidden="false" customHeight="false" outlineLevel="0" collapsed="false">
      <c r="A17" s="14" t="s">
        <v>347</v>
      </c>
      <c r="B17" s="9" t="s">
        <v>348</v>
      </c>
      <c r="C17" s="9"/>
      <c r="D17" s="9"/>
      <c r="E17" s="9"/>
      <c r="F17" s="9"/>
      <c r="G17" s="9"/>
    </row>
    <row r="18" customFormat="false" ht="35.05" hidden="false" customHeight="false" outlineLevel="0" collapsed="false">
      <c r="A18" s="14" t="s">
        <v>349</v>
      </c>
      <c r="B18" s="9" t="s">
        <v>350</v>
      </c>
      <c r="C18" s="9"/>
      <c r="D18" s="9"/>
      <c r="E18" s="9"/>
      <c r="F18" s="9"/>
      <c r="G18" s="9"/>
    </row>
    <row r="19" customFormat="false" ht="35.05" hidden="false" customHeight="false" outlineLevel="0" collapsed="false">
      <c r="A19" s="14" t="s">
        <v>351</v>
      </c>
      <c r="B19" s="9" t="s">
        <v>352</v>
      </c>
      <c r="C19" s="9"/>
      <c r="D19" s="9"/>
      <c r="E19" s="9"/>
      <c r="F19" s="9"/>
      <c r="G19" s="9"/>
    </row>
    <row r="20" customFormat="false" ht="35.05" hidden="false" customHeight="false" outlineLevel="0" collapsed="false">
      <c r="A20" s="14" t="s">
        <v>353</v>
      </c>
      <c r="B20" s="9" t="s">
        <v>354</v>
      </c>
      <c r="C20" s="9"/>
      <c r="D20" s="9"/>
      <c r="E20" s="9"/>
      <c r="F20" s="9"/>
      <c r="G20" s="9"/>
    </row>
    <row r="21" customFormat="false" ht="35.05" hidden="false" customHeight="false" outlineLevel="0" collapsed="false">
      <c r="A21" s="14" t="s">
        <v>355</v>
      </c>
      <c r="B21" s="9" t="s">
        <v>356</v>
      </c>
      <c r="C21" s="9"/>
      <c r="D21" s="9"/>
      <c r="E21" s="9"/>
      <c r="F21" s="9"/>
      <c r="G21" s="9"/>
    </row>
    <row r="22" customFormat="false" ht="35.05" hidden="false" customHeight="false" outlineLevel="0" collapsed="false">
      <c r="A22" s="14" t="s">
        <v>357</v>
      </c>
      <c r="B22" s="9" t="s">
        <v>358</v>
      </c>
      <c r="C22" s="9"/>
      <c r="D22" s="9"/>
      <c r="E22" s="9"/>
      <c r="F22" s="9"/>
      <c r="G22" s="9"/>
    </row>
    <row r="23" customFormat="false" ht="35.05" hidden="false" customHeight="false" outlineLevel="0" collapsed="false">
      <c r="A23" s="14" t="s">
        <v>359</v>
      </c>
      <c r="B23" s="9" t="s">
        <v>360</v>
      </c>
      <c r="C23" s="9"/>
      <c r="D23" s="9"/>
      <c r="E23" s="9"/>
      <c r="F23" s="9"/>
      <c r="G23" s="9"/>
    </row>
    <row r="24" customFormat="false" ht="35.05" hidden="false" customHeight="false" outlineLevel="0" collapsed="false">
      <c r="A24" s="14" t="s">
        <v>361</v>
      </c>
      <c r="B24" s="9" t="s">
        <v>362</v>
      </c>
      <c r="C24" s="9"/>
      <c r="D24" s="9"/>
      <c r="E24" s="9"/>
      <c r="F24" s="9"/>
      <c r="G24" s="9"/>
    </row>
    <row r="25" customFormat="false" ht="15" hidden="false" customHeight="false" outlineLevel="0" collapsed="false">
      <c r="A25" s="14" t="s">
        <v>363</v>
      </c>
      <c r="B25" s="9" t="s">
        <v>364</v>
      </c>
      <c r="C25" s="9"/>
      <c r="D25" s="9"/>
      <c r="E25" s="9"/>
      <c r="F25" s="9"/>
      <c r="G25" s="9"/>
    </row>
    <row r="26" customFormat="false" ht="15" hidden="false" customHeight="false" outlineLevel="0" collapsed="false">
      <c r="A26" s="14" t="s">
        <v>365</v>
      </c>
      <c r="B26" s="9" t="s">
        <v>366</v>
      </c>
      <c r="C26" s="9"/>
      <c r="D26" s="9"/>
      <c r="E26" s="9"/>
      <c r="F26" s="9"/>
      <c r="G26" s="9"/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28"/>
  </cols>
  <sheetData>
    <row r="1" customFormat="false" ht="24" hidden="false" customHeight="true" outlineLevel="0" collapsed="false">
      <c r="A1" s="5" t="s">
        <v>367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6" t="s">
        <v>368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A3" s="6" t="s">
        <v>369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31.5" hidden="false" customHeight="true" outlineLevel="0" collapsed="false">
      <c r="A4" s="7" t="s">
        <v>370</v>
      </c>
      <c r="B4" s="7" t="s">
        <v>371</v>
      </c>
      <c r="C4" s="7" t="s">
        <v>372</v>
      </c>
      <c r="D4" s="7" t="s">
        <v>373</v>
      </c>
      <c r="E4" s="7" t="s">
        <v>374</v>
      </c>
      <c r="F4" s="7" t="s">
        <v>375</v>
      </c>
      <c r="G4" s="7" t="s">
        <v>376</v>
      </c>
      <c r="H4" s="7" t="s">
        <v>377</v>
      </c>
      <c r="I4" s="7" t="s">
        <v>378</v>
      </c>
      <c r="J4" s="7" t="s">
        <v>46</v>
      </c>
    </row>
    <row r="5" customFormat="false" ht="23.85" hidden="false" customHeight="false" outlineLevel="0" collapsed="false">
      <c r="A5" s="9" t="s">
        <v>379</v>
      </c>
      <c r="B5" s="9" t="s">
        <v>380</v>
      </c>
      <c r="C5" s="9" t="s">
        <v>381</v>
      </c>
      <c r="D5" s="9" t="s">
        <v>382</v>
      </c>
      <c r="E5" s="12"/>
      <c r="F5" s="9" t="s">
        <v>208</v>
      </c>
      <c r="G5" s="9" t="s">
        <v>267</v>
      </c>
      <c r="H5" s="9"/>
      <c r="I5" s="9"/>
      <c r="J5" s="9" t="s">
        <v>383</v>
      </c>
    </row>
    <row r="6" customFormat="false" ht="23.85" hidden="false" customHeight="false" outlineLevel="0" collapsed="false">
      <c r="A6" s="9" t="s">
        <v>384</v>
      </c>
      <c r="B6" s="9" t="s">
        <v>385</v>
      </c>
      <c r="C6" s="9" t="s">
        <v>381</v>
      </c>
      <c r="D6" s="9" t="s">
        <v>386</v>
      </c>
      <c r="E6" s="12"/>
      <c r="F6" s="9" t="s">
        <v>173</v>
      </c>
      <c r="G6" s="9" t="s">
        <v>267</v>
      </c>
      <c r="H6" s="9"/>
      <c r="I6" s="9"/>
      <c r="J6" s="9" t="s">
        <v>387</v>
      </c>
    </row>
    <row r="7" customFormat="false" ht="23.85" hidden="false" customHeight="false" outlineLevel="0" collapsed="false">
      <c r="A7" s="9" t="s">
        <v>388</v>
      </c>
      <c r="B7" s="9" t="s">
        <v>389</v>
      </c>
      <c r="C7" s="9" t="s">
        <v>381</v>
      </c>
      <c r="D7" s="9" t="s">
        <v>386</v>
      </c>
      <c r="E7" s="12"/>
      <c r="F7" s="9" t="s">
        <v>173</v>
      </c>
      <c r="G7" s="9" t="s">
        <v>267</v>
      </c>
      <c r="H7" s="9"/>
      <c r="I7" s="9"/>
      <c r="J7" s="9" t="s">
        <v>390</v>
      </c>
    </row>
    <row r="8" customFormat="false" ht="15" hidden="false" customHeight="false" outlineLevel="0" collapsed="false">
      <c r="A8" s="9" t="s">
        <v>391</v>
      </c>
      <c r="B8" s="9" t="s">
        <v>392</v>
      </c>
      <c r="C8" s="9" t="s">
        <v>381</v>
      </c>
      <c r="D8" s="9" t="s">
        <v>386</v>
      </c>
      <c r="E8" s="12"/>
      <c r="F8" s="9" t="s">
        <v>208</v>
      </c>
      <c r="G8" s="9" t="s">
        <v>267</v>
      </c>
      <c r="H8" s="9"/>
      <c r="I8" s="9"/>
      <c r="J8" s="9" t="s">
        <v>393</v>
      </c>
    </row>
    <row r="9" customFormat="false" ht="15" hidden="false" customHeight="false" outlineLevel="0" collapsed="false">
      <c r="A9" s="9" t="s">
        <v>394</v>
      </c>
      <c r="B9" s="9" t="s">
        <v>395</v>
      </c>
      <c r="C9" s="9" t="s">
        <v>381</v>
      </c>
      <c r="D9" s="9" t="s">
        <v>386</v>
      </c>
      <c r="E9" s="12"/>
      <c r="F9" s="9" t="s">
        <v>208</v>
      </c>
      <c r="G9" s="9" t="s">
        <v>267</v>
      </c>
      <c r="H9" s="9"/>
      <c r="I9" s="9"/>
      <c r="J9" s="9"/>
    </row>
    <row r="10" customFormat="false" ht="15" hidden="false" customHeight="false" outlineLevel="0" collapsed="false">
      <c r="A10" s="9" t="s">
        <v>396</v>
      </c>
      <c r="B10" s="9" t="s">
        <v>397</v>
      </c>
      <c r="C10" s="9" t="s">
        <v>381</v>
      </c>
      <c r="D10" s="9" t="s">
        <v>382</v>
      </c>
      <c r="E10" s="12"/>
      <c r="F10" s="9" t="s">
        <v>166</v>
      </c>
      <c r="G10" s="9" t="s">
        <v>267</v>
      </c>
      <c r="H10" s="9"/>
      <c r="I10" s="9"/>
      <c r="J10" s="9" t="s">
        <v>398</v>
      </c>
    </row>
    <row r="11" customFormat="false" ht="15" hidden="false" customHeight="false" outlineLevel="0" collapsed="false">
      <c r="A11" s="9" t="s">
        <v>399</v>
      </c>
      <c r="B11" s="9" t="s">
        <v>400</v>
      </c>
      <c r="C11" s="9" t="s">
        <v>381</v>
      </c>
      <c r="D11" s="9" t="s">
        <v>382</v>
      </c>
      <c r="E11" s="12"/>
      <c r="F11" s="9" t="s">
        <v>299</v>
      </c>
      <c r="G11" s="9" t="s">
        <v>267</v>
      </c>
      <c r="H11" s="9"/>
      <c r="I11" s="9"/>
      <c r="J11" s="9"/>
    </row>
    <row r="12" customFormat="false" ht="23.85" hidden="false" customHeight="false" outlineLevel="0" collapsed="false">
      <c r="A12" s="9" t="s">
        <v>401</v>
      </c>
      <c r="B12" s="9" t="s">
        <v>402</v>
      </c>
      <c r="C12" s="9" t="s">
        <v>381</v>
      </c>
      <c r="D12" s="9" t="s">
        <v>382</v>
      </c>
      <c r="E12" s="12"/>
      <c r="F12" s="9" t="s">
        <v>299</v>
      </c>
      <c r="G12" s="9" t="s">
        <v>267</v>
      </c>
      <c r="H12" s="9"/>
      <c r="I12" s="9" t="s">
        <v>174</v>
      </c>
      <c r="J12" s="9"/>
    </row>
    <row r="13" customFormat="false" ht="23.85" hidden="false" customHeight="false" outlineLevel="0" collapsed="false">
      <c r="A13" s="9" t="s">
        <v>403</v>
      </c>
      <c r="B13" s="9" t="s">
        <v>404</v>
      </c>
      <c r="C13" s="9" t="s">
        <v>381</v>
      </c>
      <c r="D13" s="9" t="s">
        <v>382</v>
      </c>
      <c r="E13" s="12"/>
      <c r="F13" s="9" t="s">
        <v>299</v>
      </c>
      <c r="G13" s="9" t="s">
        <v>267</v>
      </c>
      <c r="H13" s="9"/>
      <c r="I13" s="9"/>
      <c r="J13" s="9" t="s">
        <v>405</v>
      </c>
    </row>
    <row r="14" customFormat="false" ht="23.85" hidden="false" customHeight="false" outlineLevel="0" collapsed="false">
      <c r="A14" s="9" t="s">
        <v>406</v>
      </c>
      <c r="B14" s="9" t="s">
        <v>407</v>
      </c>
      <c r="C14" s="9" t="s">
        <v>408</v>
      </c>
      <c r="D14" s="9" t="s">
        <v>386</v>
      </c>
      <c r="E14" s="12"/>
      <c r="F14" s="9" t="s">
        <v>409</v>
      </c>
      <c r="G14" s="9" t="s">
        <v>267</v>
      </c>
      <c r="H14" s="9"/>
      <c r="I14" s="9" t="s">
        <v>181</v>
      </c>
      <c r="J14" s="9" t="s">
        <v>410</v>
      </c>
    </row>
    <row r="15" customFormat="false" ht="15" hidden="false" customHeight="false" outlineLevel="0" collapsed="false">
      <c r="A15" s="9" t="s">
        <v>411</v>
      </c>
      <c r="B15" s="9" t="s">
        <v>412</v>
      </c>
      <c r="C15" s="9" t="s">
        <v>413</v>
      </c>
      <c r="D15" s="9" t="s">
        <v>382</v>
      </c>
      <c r="E15" s="12"/>
      <c r="F15" s="9" t="s">
        <v>414</v>
      </c>
      <c r="G15" s="9" t="s">
        <v>267</v>
      </c>
      <c r="H15" s="9"/>
      <c r="I15" s="9" t="s">
        <v>192</v>
      </c>
      <c r="J15" s="9"/>
    </row>
  </sheetData>
  <mergeCells count="3">
    <mergeCell ref="A1:J1"/>
    <mergeCell ref="A2:J2"/>
    <mergeCell ref="A3:J3"/>
  </mergeCells>
  <conditionalFormatting sqref="G5:G100">
    <cfRule type="expression" priority="2" aboveAverage="0" equalAverage="0" bottom="0" percent="0" rank="0" text="" dxfId="0">
      <formula>$G5="Complete"</formula>
    </cfRule>
  </conditionalFormatting>
  <conditionalFormatting sqref="D5:D100">
    <cfRule type="expression" priority="3" aboveAverage="0" equalAverage="0" bottom="0" percent="0" rank="0" text="" dxfId="4">
      <formula>$D5="Y"</formula>
    </cfRule>
  </conditionalFormatting>
  <dataValidations count="2">
    <dataValidation allowBlank="true" errorStyle="stop" operator="between" showDropDown="false" showErrorMessage="false" showInputMessage="false" sqref="D5:D100" type="list">
      <formula1>"Y,N"</formula1>
      <formula2>0</formula2>
    </dataValidation>
    <dataValidation allowBlank="true" errorStyle="stop" operator="between" showDropDown="false" showErrorMessage="false" showInputMessage="false" sqref="G5:G100" type="list">
      <formula1>"Not Started,Workshop Scheduled,In Draft,Under Review,Complete"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40"/>
    <col collapsed="false" customWidth="true" hidden="false" outlineLevel="0" max="10" min="10" style="0" width="18"/>
    <col collapsed="false" customWidth="true" hidden="false" outlineLevel="0" max="12" min="11" style="0" width="14"/>
  </cols>
  <sheetData>
    <row r="1" customFormat="false" ht="24" hidden="false" customHeight="true" outlineLevel="0" collapsed="false">
      <c r="A1" s="5" t="s">
        <v>415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15" hidden="false" customHeight="false" outlineLevel="0" collapsed="false">
      <c r="A2" s="6" t="s">
        <v>416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15" hidden="false" customHeight="false" outlineLevel="0" collapsed="false">
      <c r="A3" s="6" t="s">
        <v>417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31.5" hidden="false" customHeight="true" outlineLevel="0" collapsed="false">
      <c r="A4" s="7" t="s">
        <v>418</v>
      </c>
      <c r="B4" s="7" t="s">
        <v>419</v>
      </c>
      <c r="C4" s="7" t="s">
        <v>420</v>
      </c>
      <c r="D4" s="7" t="s">
        <v>421</v>
      </c>
      <c r="E4" s="7" t="s">
        <v>422</v>
      </c>
      <c r="F4" s="7" t="s">
        <v>423</v>
      </c>
      <c r="G4" s="7" t="s">
        <v>424</v>
      </c>
      <c r="H4" s="7" t="s">
        <v>425</v>
      </c>
      <c r="I4" s="7" t="s">
        <v>426</v>
      </c>
      <c r="J4" s="7" t="s">
        <v>43</v>
      </c>
      <c r="K4" s="7" t="s">
        <v>427</v>
      </c>
      <c r="L4" s="7" t="s">
        <v>44</v>
      </c>
    </row>
    <row r="5" customFormat="false" ht="23.85" hidden="false" customHeight="false" outlineLevel="0" collapsed="false">
      <c r="A5" s="9" t="s">
        <v>428</v>
      </c>
      <c r="B5" s="9" t="s">
        <v>429</v>
      </c>
      <c r="C5" s="9" t="s">
        <v>430</v>
      </c>
      <c r="D5" s="9" t="n">
        <v>3</v>
      </c>
      <c r="E5" s="9" t="n">
        <v>5</v>
      </c>
      <c r="F5" s="9" t="n">
        <v>1</v>
      </c>
      <c r="G5" s="15" t="n">
        <f aca="false">D5*E5*F5</f>
        <v>15</v>
      </c>
      <c r="H5" s="9" t="s">
        <v>431</v>
      </c>
      <c r="I5" s="9" t="s">
        <v>432</v>
      </c>
      <c r="J5" s="9" t="s">
        <v>166</v>
      </c>
      <c r="K5" s="12"/>
      <c r="L5" s="9" t="s">
        <v>167</v>
      </c>
    </row>
    <row r="6" customFormat="false" ht="23.85" hidden="false" customHeight="false" outlineLevel="0" collapsed="false">
      <c r="A6" s="9" t="s">
        <v>433</v>
      </c>
      <c r="B6" s="9" t="s">
        <v>434</v>
      </c>
      <c r="C6" s="9" t="s">
        <v>430</v>
      </c>
      <c r="D6" s="9" t="n">
        <v>3</v>
      </c>
      <c r="E6" s="9" t="n">
        <v>4</v>
      </c>
      <c r="F6" s="9" t="n">
        <v>2</v>
      </c>
      <c r="G6" s="15" t="n">
        <f aca="false">D6*E6*F6</f>
        <v>24</v>
      </c>
      <c r="H6" s="9" t="s">
        <v>435</v>
      </c>
      <c r="I6" s="9" t="s">
        <v>436</v>
      </c>
      <c r="J6" s="9" t="s">
        <v>166</v>
      </c>
      <c r="K6" s="12"/>
      <c r="L6" s="9" t="s">
        <v>167</v>
      </c>
    </row>
    <row r="7" customFormat="false" ht="23.85" hidden="false" customHeight="false" outlineLevel="0" collapsed="false">
      <c r="A7" s="9" t="s">
        <v>437</v>
      </c>
      <c r="B7" s="9" t="s">
        <v>438</v>
      </c>
      <c r="C7" s="9" t="s">
        <v>430</v>
      </c>
      <c r="D7" s="9" t="n">
        <v>2</v>
      </c>
      <c r="E7" s="9" t="n">
        <v>4</v>
      </c>
      <c r="F7" s="9" t="n">
        <v>1</v>
      </c>
      <c r="G7" s="15" t="n">
        <f aca="false">D7*E7*F7</f>
        <v>8</v>
      </c>
      <c r="H7" s="9" t="s">
        <v>439</v>
      </c>
      <c r="I7" s="9" t="s">
        <v>440</v>
      </c>
      <c r="J7" s="9" t="s">
        <v>166</v>
      </c>
      <c r="K7" s="12"/>
      <c r="L7" s="9" t="s">
        <v>167</v>
      </c>
    </row>
    <row r="8" customFormat="false" ht="23.85" hidden="false" customHeight="false" outlineLevel="0" collapsed="false">
      <c r="A8" s="9" t="s">
        <v>441</v>
      </c>
      <c r="B8" s="9" t="s">
        <v>442</v>
      </c>
      <c r="C8" s="9" t="s">
        <v>443</v>
      </c>
      <c r="D8" s="9" t="n">
        <v>2</v>
      </c>
      <c r="E8" s="9" t="n">
        <v>5</v>
      </c>
      <c r="F8" s="9" t="n">
        <v>1</v>
      </c>
      <c r="G8" s="15" t="n">
        <f aca="false">D8*E8*F8</f>
        <v>10</v>
      </c>
      <c r="H8" s="9" t="s">
        <v>444</v>
      </c>
      <c r="I8" s="9" t="s">
        <v>445</v>
      </c>
      <c r="J8" s="9" t="s">
        <v>446</v>
      </c>
      <c r="K8" s="12"/>
      <c r="L8" s="9" t="s">
        <v>167</v>
      </c>
    </row>
    <row r="9" customFormat="false" ht="23.85" hidden="false" customHeight="false" outlineLevel="0" collapsed="false">
      <c r="A9" s="9" t="s">
        <v>447</v>
      </c>
      <c r="B9" s="9" t="s">
        <v>448</v>
      </c>
      <c r="C9" s="9" t="s">
        <v>443</v>
      </c>
      <c r="D9" s="9" t="n">
        <v>1</v>
      </c>
      <c r="E9" s="9" t="n">
        <v>5</v>
      </c>
      <c r="F9" s="9" t="n">
        <v>1</v>
      </c>
      <c r="G9" s="15" t="n">
        <f aca="false">D9*E9*F9</f>
        <v>5</v>
      </c>
      <c r="H9" s="9" t="s">
        <v>449</v>
      </c>
      <c r="I9" s="9" t="s">
        <v>450</v>
      </c>
      <c r="J9" s="9" t="s">
        <v>446</v>
      </c>
      <c r="K9" s="12"/>
      <c r="L9" s="9" t="s">
        <v>167</v>
      </c>
    </row>
    <row r="10" customFormat="false" ht="23.85" hidden="false" customHeight="false" outlineLevel="0" collapsed="false">
      <c r="A10" s="9" t="s">
        <v>451</v>
      </c>
      <c r="B10" s="9" t="s">
        <v>452</v>
      </c>
      <c r="C10" s="9" t="s">
        <v>443</v>
      </c>
      <c r="D10" s="9" t="n">
        <v>3</v>
      </c>
      <c r="E10" s="9" t="n">
        <v>4</v>
      </c>
      <c r="F10" s="9" t="n">
        <v>3</v>
      </c>
      <c r="G10" s="15" t="n">
        <f aca="false">D10*E10*F10</f>
        <v>36</v>
      </c>
      <c r="H10" s="9" t="s">
        <v>435</v>
      </c>
      <c r="I10" s="9" t="s">
        <v>453</v>
      </c>
      <c r="J10" s="9" t="s">
        <v>454</v>
      </c>
      <c r="K10" s="12"/>
      <c r="L10" s="9" t="s">
        <v>167</v>
      </c>
    </row>
    <row r="11" customFormat="false" ht="23.85" hidden="false" customHeight="false" outlineLevel="0" collapsed="false">
      <c r="A11" s="9" t="s">
        <v>455</v>
      </c>
      <c r="B11" s="9" t="s">
        <v>456</v>
      </c>
      <c r="C11" s="9" t="s">
        <v>443</v>
      </c>
      <c r="D11" s="9" t="n">
        <v>2</v>
      </c>
      <c r="E11" s="9" t="n">
        <v>4</v>
      </c>
      <c r="F11" s="9" t="n">
        <v>2</v>
      </c>
      <c r="G11" s="15" t="n">
        <f aca="false">D11*E11*F11</f>
        <v>16</v>
      </c>
      <c r="H11" s="9" t="s">
        <v>439</v>
      </c>
      <c r="I11" s="9" t="s">
        <v>457</v>
      </c>
      <c r="J11" s="9" t="s">
        <v>446</v>
      </c>
      <c r="K11" s="12"/>
      <c r="L11" s="9" t="s">
        <v>167</v>
      </c>
    </row>
    <row r="12" customFormat="false" ht="23.85" hidden="false" customHeight="false" outlineLevel="0" collapsed="false">
      <c r="A12" s="9" t="s">
        <v>458</v>
      </c>
      <c r="B12" s="9" t="s">
        <v>459</v>
      </c>
      <c r="C12" s="9" t="s">
        <v>443</v>
      </c>
      <c r="D12" s="9" t="n">
        <v>2</v>
      </c>
      <c r="E12" s="9" t="n">
        <v>4</v>
      </c>
      <c r="F12" s="9" t="n">
        <v>2</v>
      </c>
      <c r="G12" s="15" t="n">
        <f aca="false">D12*E12*F12</f>
        <v>16</v>
      </c>
      <c r="H12" s="9" t="s">
        <v>439</v>
      </c>
      <c r="I12" s="9" t="s">
        <v>460</v>
      </c>
      <c r="J12" s="9" t="s">
        <v>461</v>
      </c>
      <c r="K12" s="12"/>
      <c r="L12" s="9" t="s">
        <v>167</v>
      </c>
    </row>
    <row r="13" customFormat="false" ht="23.85" hidden="false" customHeight="false" outlineLevel="0" collapsed="false">
      <c r="A13" s="9" t="s">
        <v>462</v>
      </c>
      <c r="B13" s="9" t="s">
        <v>463</v>
      </c>
      <c r="C13" s="9" t="s">
        <v>464</v>
      </c>
      <c r="D13" s="9" t="n">
        <v>2</v>
      </c>
      <c r="E13" s="9" t="n">
        <v>5</v>
      </c>
      <c r="F13" s="9" t="n">
        <v>4</v>
      </c>
      <c r="G13" s="15" t="n">
        <f aca="false">D13*E13*F13</f>
        <v>40</v>
      </c>
      <c r="H13" s="9" t="s">
        <v>435</v>
      </c>
      <c r="I13" s="9" t="s">
        <v>465</v>
      </c>
      <c r="J13" s="9" t="s">
        <v>173</v>
      </c>
      <c r="K13" s="12"/>
      <c r="L13" s="9" t="s">
        <v>167</v>
      </c>
    </row>
    <row r="14" customFormat="false" ht="23.85" hidden="false" customHeight="false" outlineLevel="0" collapsed="false">
      <c r="A14" s="9" t="s">
        <v>466</v>
      </c>
      <c r="B14" s="9" t="s">
        <v>467</v>
      </c>
      <c r="C14" s="9" t="s">
        <v>468</v>
      </c>
      <c r="D14" s="9" t="n">
        <v>4</v>
      </c>
      <c r="E14" s="9" t="n">
        <v>3</v>
      </c>
      <c r="F14" s="9" t="n">
        <v>2</v>
      </c>
      <c r="G14" s="15" t="n">
        <f aca="false">D14*E14*F14</f>
        <v>24</v>
      </c>
      <c r="H14" s="9" t="s">
        <v>435</v>
      </c>
      <c r="I14" s="9" t="s">
        <v>469</v>
      </c>
      <c r="J14" s="9" t="s">
        <v>470</v>
      </c>
      <c r="K14" s="12"/>
      <c r="L14" s="9" t="s">
        <v>167</v>
      </c>
    </row>
    <row r="15" customFormat="false" ht="23.85" hidden="false" customHeight="false" outlineLevel="0" collapsed="false">
      <c r="A15" s="9" t="s">
        <v>471</v>
      </c>
      <c r="B15" s="9" t="s">
        <v>472</v>
      </c>
      <c r="C15" s="9" t="s">
        <v>468</v>
      </c>
      <c r="D15" s="9" t="n">
        <v>3</v>
      </c>
      <c r="E15" s="9" t="n">
        <v>4</v>
      </c>
      <c r="F15" s="9" t="n">
        <v>2</v>
      </c>
      <c r="G15" s="15" t="n">
        <f aca="false">D15*E15*F15</f>
        <v>24</v>
      </c>
      <c r="H15" s="9" t="s">
        <v>439</v>
      </c>
      <c r="I15" s="9" t="s">
        <v>473</v>
      </c>
      <c r="J15" s="9" t="s">
        <v>173</v>
      </c>
      <c r="K15" s="12"/>
      <c r="L15" s="9" t="s">
        <v>167</v>
      </c>
    </row>
    <row r="16" customFormat="false" ht="23.85" hidden="false" customHeight="false" outlineLevel="0" collapsed="false">
      <c r="A16" s="9" t="s">
        <v>474</v>
      </c>
      <c r="B16" s="9" t="s">
        <v>475</v>
      </c>
      <c r="C16" s="9" t="s">
        <v>464</v>
      </c>
      <c r="D16" s="9" t="n">
        <v>1</v>
      </c>
      <c r="E16" s="9" t="n">
        <v>5</v>
      </c>
      <c r="F16" s="9" t="n">
        <v>2</v>
      </c>
      <c r="G16" s="15" t="n">
        <f aca="false">D16*E16*F16</f>
        <v>10</v>
      </c>
      <c r="H16" s="9" t="s">
        <v>439</v>
      </c>
      <c r="I16" s="9" t="s">
        <v>476</v>
      </c>
      <c r="J16" s="9" t="s">
        <v>173</v>
      </c>
      <c r="K16" s="12"/>
      <c r="L16" s="9" t="s">
        <v>167</v>
      </c>
    </row>
    <row r="17" customFormat="false" ht="23.85" hidden="false" customHeight="false" outlineLevel="0" collapsed="false">
      <c r="A17" s="9" t="s">
        <v>477</v>
      </c>
      <c r="B17" s="9" t="s">
        <v>478</v>
      </c>
      <c r="C17" s="9" t="s">
        <v>430</v>
      </c>
      <c r="D17" s="9" t="n">
        <v>2</v>
      </c>
      <c r="E17" s="9" t="n">
        <v>5</v>
      </c>
      <c r="F17" s="9" t="n">
        <v>5</v>
      </c>
      <c r="G17" s="15" t="n">
        <f aca="false">D17*E17*F17</f>
        <v>50</v>
      </c>
      <c r="H17" s="9" t="s">
        <v>435</v>
      </c>
      <c r="I17" s="9" t="s">
        <v>479</v>
      </c>
      <c r="J17" s="9" t="s">
        <v>166</v>
      </c>
      <c r="K17" s="12"/>
      <c r="L17" s="9" t="s">
        <v>167</v>
      </c>
    </row>
    <row r="18" customFormat="false" ht="23.85" hidden="false" customHeight="false" outlineLevel="0" collapsed="false">
      <c r="A18" s="9" t="s">
        <v>480</v>
      </c>
      <c r="B18" s="9" t="s">
        <v>481</v>
      </c>
      <c r="C18" s="9" t="s">
        <v>430</v>
      </c>
      <c r="D18" s="9" t="n">
        <v>2</v>
      </c>
      <c r="E18" s="9" t="n">
        <v>4</v>
      </c>
      <c r="F18" s="9" t="n">
        <v>1</v>
      </c>
      <c r="G18" s="15" t="n">
        <f aca="false">D18*E18*F18</f>
        <v>8</v>
      </c>
      <c r="H18" s="9" t="s">
        <v>439</v>
      </c>
      <c r="I18" s="9" t="s">
        <v>482</v>
      </c>
      <c r="J18" s="9" t="s">
        <v>483</v>
      </c>
      <c r="K18" s="12"/>
      <c r="L18" s="9" t="s">
        <v>167</v>
      </c>
    </row>
    <row r="19" customFormat="false" ht="23.85" hidden="false" customHeight="false" outlineLevel="0" collapsed="false">
      <c r="A19" s="9" t="s">
        <v>484</v>
      </c>
      <c r="B19" s="9" t="s">
        <v>485</v>
      </c>
      <c r="C19" s="9" t="s">
        <v>464</v>
      </c>
      <c r="D19" s="9" t="n">
        <v>3</v>
      </c>
      <c r="E19" s="9" t="n">
        <v>3</v>
      </c>
      <c r="F19" s="9" t="n">
        <v>1</v>
      </c>
      <c r="G19" s="15" t="n">
        <f aca="false">D19*E19*F19</f>
        <v>9</v>
      </c>
      <c r="H19" s="9" t="s">
        <v>439</v>
      </c>
      <c r="I19" s="9" t="s">
        <v>486</v>
      </c>
      <c r="J19" s="9" t="s">
        <v>487</v>
      </c>
      <c r="K19" s="12"/>
      <c r="L19" s="9" t="s">
        <v>167</v>
      </c>
    </row>
    <row r="22" customFormat="false" ht="15" hidden="false" customHeight="false" outlineLevel="0" collapsed="false">
      <c r="A22" s="13" t="s">
        <v>142</v>
      </c>
    </row>
    <row r="23" customFormat="false" ht="15" hidden="false" customHeight="false" outlineLevel="0" collapsed="false">
      <c r="A23" s="4" t="s">
        <v>488</v>
      </c>
      <c r="B23" s="10" t="n">
        <f aca="false">COUNTA(A5:A200)-COUNTIF(A5:A200,"")</f>
        <v>-152</v>
      </c>
    </row>
    <row r="24" customFormat="false" ht="15" hidden="false" customHeight="false" outlineLevel="0" collapsed="false">
      <c r="A24" s="4" t="s">
        <v>489</v>
      </c>
      <c r="B24" s="10" t="n">
        <f aca="false">COUNTIF(G5:G200,"&gt;=50")</f>
        <v>1</v>
      </c>
    </row>
    <row r="25" customFormat="false" ht="15" hidden="false" customHeight="false" outlineLevel="0" collapsed="false">
      <c r="A25" s="4" t="s">
        <v>490</v>
      </c>
      <c r="B25" s="10" t="n">
        <f aca="false">COUNTIFS(G5:G200,"&gt;=30",G5:G200,"&lt;50")</f>
        <v>2</v>
      </c>
    </row>
    <row r="26" customFormat="false" ht="15" hidden="false" customHeight="false" outlineLevel="0" collapsed="false">
      <c r="A26" s="4" t="s">
        <v>491</v>
      </c>
      <c r="B26" s="10" t="n">
        <f aca="false">COUNTIF(H5:H200,"Not Addressed")</f>
        <v>5</v>
      </c>
    </row>
    <row r="27" customFormat="false" ht="15" hidden="false" customHeight="false" outlineLevel="0" collapsed="false">
      <c r="A27" s="4" t="s">
        <v>492</v>
      </c>
      <c r="B27" s="10" t="n">
        <f aca="false">COUNTIF(H5:H200,"Needs Work")</f>
        <v>1</v>
      </c>
    </row>
    <row r="28" customFormat="false" ht="15" hidden="false" customHeight="false" outlineLevel="0" collapsed="false">
      <c r="A28" s="4" t="s">
        <v>493</v>
      </c>
      <c r="B28" s="10" t="n">
        <f aca="false">COUNTIF(H5:H200,"Adequate")+COUNTIF(H5:H200,"Adequate (tested)")</f>
        <v>2</v>
      </c>
    </row>
  </sheetData>
  <mergeCells count="3">
    <mergeCell ref="A1:L1"/>
    <mergeCell ref="A2:L2"/>
    <mergeCell ref="A3:L3"/>
  </mergeCells>
  <conditionalFormatting sqref="G5:G200">
    <cfRule type="cellIs" priority="2" operator="greaterThanOrEqual" aboveAverage="0" equalAverage="0" bottom="0" percent="0" rank="0" text="" dxfId="2">
      <formula>50</formula>
    </cfRule>
    <cfRule type="cellIs" priority="3" operator="between" aboveAverage="0" equalAverage="0" bottom="0" percent="0" rank="0" text="" dxfId="4">
      <formula>30</formula>
      <formula>49</formula>
    </cfRule>
    <cfRule type="cellIs" priority="4" operator="between" aboveAverage="0" equalAverage="0" bottom="0" percent="0" rank="0" text="" dxfId="1">
      <formula>15</formula>
      <formula>29</formula>
    </cfRule>
    <cfRule type="cellIs" priority="5" operator="lessThan" aboveAverage="0" equalAverage="0" bottom="0" percent="0" rank="0" text="" dxfId="0">
      <formula>15</formula>
    </cfRule>
  </conditionalFormatting>
  <conditionalFormatting sqref="H5:H200">
    <cfRule type="expression" priority="6" aboveAverage="0" equalAverage="0" bottom="0" percent="0" rank="0" text="" dxfId="2">
      <formula>$H5="Not Addressed"</formula>
    </cfRule>
    <cfRule type="expression" priority="7" aboveAverage="0" equalAverage="0" bottom="0" percent="0" rank="0" text="" dxfId="4">
      <formula>$H5="Needs Work"</formula>
    </cfRule>
    <cfRule type="expression" priority="8" aboveAverage="0" equalAverage="0" bottom="0" percent="0" rank="0" text="" dxfId="1">
      <formula>$H5="Partial"</formula>
    </cfRule>
    <cfRule type="expression" priority="9" aboveAverage="0" equalAverage="0" bottom="0" percent="0" rank="0" text="" dxfId="0">
      <formula>OR($H5="Adequate",$H5="Adequate (tested)")</formula>
    </cfRule>
  </conditionalFormatting>
  <dataValidations count="4">
    <dataValidation allowBlank="true" errorStyle="stop" operator="between" showDropDown="false" showErrorMessage="false" showInputMessage="false" sqref="C5:C200" type="list">
      <formula1>"External,Internal,Cascading,Operational,Human Factor,Cyber"</formula1>
      <formula2>0</formula2>
    </dataValidation>
    <dataValidation allowBlank="true" errorStyle="stop" operator="between" showDropDown="false" showErrorMessage="false" showInputMessage="false" sqref="D5:F200" type="list">
      <formula1>"1,2,3,4,5"</formula1>
      <formula2>0</formula2>
    </dataValidation>
    <dataValidation allowBlank="true" errorStyle="stop" operator="between" showDropDown="false" showErrorMessage="false" showInputMessage="false" sqref="H5:H200" type="list">
      <formula1>"Adequate,Adequate (tested),Partial,Needs Work,Not Addressed"</formula1>
      <formula2>0</formula2>
    </dataValidation>
    <dataValidation allowBlank="true" errorStyle="stop" operator="between" showDropDown="false" showErrorMessage="false" showInputMessage="false" sqref="L5:L200" type="list">
      <formula1>"Open,In Progress,Mitigated,Accepted,Closed"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45"/>
  </cols>
  <sheetData>
    <row r="1" customFormat="false" ht="24" hidden="false" customHeight="true" outlineLevel="0" collapsed="false">
      <c r="A1" s="5" t="s">
        <v>494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495</v>
      </c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6" t="s">
        <v>496</v>
      </c>
      <c r="B3" s="6"/>
      <c r="C3" s="6"/>
      <c r="D3" s="6"/>
      <c r="E3" s="6"/>
      <c r="F3" s="6"/>
      <c r="G3" s="6"/>
      <c r="H3" s="6"/>
    </row>
    <row r="4" customFormat="false" ht="31.5" hidden="false" customHeight="true" outlineLevel="0" collapsed="false">
      <c r="A4" s="7" t="s">
        <v>497</v>
      </c>
      <c r="B4" s="7" t="s">
        <v>498</v>
      </c>
      <c r="C4" s="7" t="s">
        <v>499</v>
      </c>
      <c r="D4" s="7" t="s">
        <v>500</v>
      </c>
      <c r="E4" s="7" t="s">
        <v>501</v>
      </c>
      <c r="F4" s="7" t="s">
        <v>502</v>
      </c>
      <c r="G4" s="7" t="s">
        <v>503</v>
      </c>
      <c r="H4" s="7" t="s">
        <v>504</v>
      </c>
    </row>
    <row r="5" customFormat="false" ht="23.85" hidden="false" customHeight="false" outlineLevel="0" collapsed="false">
      <c r="A5" s="9" t="s">
        <v>505</v>
      </c>
      <c r="B5" s="9" t="s">
        <v>506</v>
      </c>
      <c r="C5" s="9" t="s">
        <v>507</v>
      </c>
      <c r="D5" s="9"/>
      <c r="E5" s="9" t="s">
        <v>508</v>
      </c>
      <c r="F5" s="9" t="s">
        <v>166</v>
      </c>
      <c r="G5" s="9" t="s">
        <v>509</v>
      </c>
      <c r="H5" s="9"/>
    </row>
    <row r="6" customFormat="false" ht="23.85" hidden="false" customHeight="false" outlineLevel="0" collapsed="false">
      <c r="A6" s="9" t="s">
        <v>510</v>
      </c>
      <c r="B6" s="9" t="s">
        <v>511</v>
      </c>
      <c r="C6" s="9" t="s">
        <v>507</v>
      </c>
      <c r="D6" s="9"/>
      <c r="E6" s="9" t="s">
        <v>508</v>
      </c>
      <c r="F6" s="9" t="s">
        <v>166</v>
      </c>
      <c r="G6" s="9" t="s">
        <v>512</v>
      </c>
      <c r="H6" s="9"/>
    </row>
    <row r="7" customFormat="false" ht="15" hidden="false" customHeight="false" outlineLevel="0" collapsed="false">
      <c r="A7" s="9" t="s">
        <v>513</v>
      </c>
      <c r="B7" s="9" t="s">
        <v>514</v>
      </c>
      <c r="C7" s="9" t="s">
        <v>515</v>
      </c>
      <c r="D7" s="9"/>
      <c r="E7" s="9" t="s">
        <v>508</v>
      </c>
      <c r="F7" s="9" t="s">
        <v>166</v>
      </c>
      <c r="G7" s="9" t="s">
        <v>516</v>
      </c>
      <c r="H7" s="9"/>
    </row>
    <row r="8" customFormat="false" ht="15" hidden="false" customHeight="false" outlineLevel="0" collapsed="false">
      <c r="A8" s="9" t="s">
        <v>517</v>
      </c>
      <c r="B8" s="9" t="s">
        <v>518</v>
      </c>
      <c r="C8" s="9" t="s">
        <v>515</v>
      </c>
      <c r="D8" s="9"/>
      <c r="E8" s="9" t="s">
        <v>508</v>
      </c>
      <c r="F8" s="9" t="s">
        <v>166</v>
      </c>
      <c r="G8" s="9" t="s">
        <v>519</v>
      </c>
      <c r="H8" s="9"/>
    </row>
    <row r="9" customFormat="false" ht="23.85" hidden="false" customHeight="false" outlineLevel="0" collapsed="false">
      <c r="A9" s="9" t="s">
        <v>520</v>
      </c>
      <c r="B9" s="9" t="s">
        <v>521</v>
      </c>
      <c r="C9" s="9" t="s">
        <v>515</v>
      </c>
      <c r="D9" s="9"/>
      <c r="E9" s="9" t="s">
        <v>522</v>
      </c>
      <c r="F9" s="9" t="s">
        <v>185</v>
      </c>
      <c r="G9" s="9" t="s">
        <v>523</v>
      </c>
      <c r="H9" s="9"/>
    </row>
    <row r="10" customFormat="false" ht="23.85" hidden="false" customHeight="false" outlineLevel="0" collapsed="false">
      <c r="A10" s="9" t="s">
        <v>524</v>
      </c>
      <c r="B10" s="9" t="s">
        <v>525</v>
      </c>
      <c r="C10" s="9" t="s">
        <v>526</v>
      </c>
      <c r="D10" s="9"/>
      <c r="E10" s="9" t="s">
        <v>508</v>
      </c>
      <c r="F10" s="9" t="s">
        <v>208</v>
      </c>
      <c r="G10" s="9" t="s">
        <v>527</v>
      </c>
      <c r="H10" s="9"/>
    </row>
    <row r="11" customFormat="false" ht="23.85" hidden="false" customHeight="false" outlineLevel="0" collapsed="false">
      <c r="A11" s="9" t="s">
        <v>528</v>
      </c>
      <c r="B11" s="9" t="s">
        <v>529</v>
      </c>
      <c r="C11" s="9" t="s">
        <v>526</v>
      </c>
      <c r="D11" s="9"/>
      <c r="E11" s="9" t="s">
        <v>522</v>
      </c>
      <c r="F11" s="9" t="s">
        <v>173</v>
      </c>
      <c r="G11" s="9" t="s">
        <v>530</v>
      </c>
      <c r="H11" s="9" t="s">
        <v>531</v>
      </c>
    </row>
    <row r="12" customFormat="false" ht="23.85" hidden="false" customHeight="false" outlineLevel="0" collapsed="false">
      <c r="A12" s="9" t="s">
        <v>532</v>
      </c>
      <c r="B12" s="9" t="s">
        <v>533</v>
      </c>
      <c r="C12" s="9" t="s">
        <v>526</v>
      </c>
      <c r="D12" s="9"/>
      <c r="E12" s="9" t="s">
        <v>522</v>
      </c>
      <c r="F12" s="9" t="s">
        <v>173</v>
      </c>
      <c r="G12" s="9" t="s">
        <v>530</v>
      </c>
      <c r="H12" s="9" t="s">
        <v>534</v>
      </c>
    </row>
    <row r="13" customFormat="false" ht="15" hidden="false" customHeight="false" outlineLevel="0" collapsed="false">
      <c r="A13" s="9" t="s">
        <v>535</v>
      </c>
      <c r="B13" s="9" t="s">
        <v>536</v>
      </c>
      <c r="C13" s="9" t="s">
        <v>537</v>
      </c>
      <c r="D13" s="9"/>
      <c r="E13" s="9" t="s">
        <v>508</v>
      </c>
      <c r="F13" s="9" t="s">
        <v>208</v>
      </c>
      <c r="G13" s="9" t="s">
        <v>538</v>
      </c>
      <c r="H13" s="9"/>
    </row>
    <row r="14" customFormat="false" ht="23.85" hidden="false" customHeight="false" outlineLevel="0" collapsed="false">
      <c r="A14" s="9" t="s">
        <v>539</v>
      </c>
      <c r="B14" s="9" t="s">
        <v>540</v>
      </c>
      <c r="C14" s="9" t="s">
        <v>537</v>
      </c>
      <c r="D14" s="9"/>
      <c r="E14" s="9" t="s">
        <v>522</v>
      </c>
      <c r="F14" s="9" t="s">
        <v>173</v>
      </c>
      <c r="G14" s="9" t="s">
        <v>541</v>
      </c>
      <c r="H14" s="9"/>
    </row>
    <row r="15" customFormat="false" ht="23.85" hidden="false" customHeight="false" outlineLevel="0" collapsed="false">
      <c r="A15" s="9" t="s">
        <v>542</v>
      </c>
      <c r="B15" s="9" t="s">
        <v>543</v>
      </c>
      <c r="C15" s="9" t="s">
        <v>537</v>
      </c>
      <c r="D15" s="9"/>
      <c r="E15" s="9" t="s">
        <v>522</v>
      </c>
      <c r="F15" s="9" t="s">
        <v>173</v>
      </c>
      <c r="G15" s="9" t="s">
        <v>544</v>
      </c>
      <c r="H15" s="9"/>
    </row>
    <row r="16" customFormat="false" ht="23.85" hidden="false" customHeight="false" outlineLevel="0" collapsed="false">
      <c r="A16" s="9" t="s">
        <v>545</v>
      </c>
      <c r="B16" s="9" t="s">
        <v>546</v>
      </c>
      <c r="C16" s="9" t="s">
        <v>547</v>
      </c>
      <c r="D16" s="9"/>
      <c r="E16" s="9" t="s">
        <v>508</v>
      </c>
      <c r="F16" s="9" t="s">
        <v>173</v>
      </c>
      <c r="G16" s="9" t="s">
        <v>548</v>
      </c>
      <c r="H16" s="9"/>
    </row>
    <row r="17" customFormat="false" ht="23.85" hidden="false" customHeight="false" outlineLevel="0" collapsed="false">
      <c r="A17" s="9" t="s">
        <v>549</v>
      </c>
      <c r="B17" s="9" t="s">
        <v>550</v>
      </c>
      <c r="C17" s="9" t="s">
        <v>547</v>
      </c>
      <c r="D17" s="9"/>
      <c r="E17" s="9" t="s">
        <v>522</v>
      </c>
      <c r="F17" s="9" t="s">
        <v>299</v>
      </c>
      <c r="G17" s="9" t="s">
        <v>551</v>
      </c>
      <c r="H17" s="9"/>
    </row>
    <row r="18" customFormat="false" ht="23.85" hidden="false" customHeight="false" outlineLevel="0" collapsed="false">
      <c r="A18" s="9" t="s">
        <v>552</v>
      </c>
      <c r="B18" s="9" t="s">
        <v>553</v>
      </c>
      <c r="C18" s="9" t="s">
        <v>554</v>
      </c>
      <c r="D18" s="9"/>
      <c r="E18" s="9" t="s">
        <v>555</v>
      </c>
      <c r="F18" s="9" t="s">
        <v>185</v>
      </c>
      <c r="G18" s="9" t="s">
        <v>556</v>
      </c>
      <c r="H18" s="9" t="s">
        <v>557</v>
      </c>
    </row>
    <row r="19" customFormat="false" ht="23.85" hidden="false" customHeight="false" outlineLevel="0" collapsed="false">
      <c r="A19" s="9" t="s">
        <v>558</v>
      </c>
      <c r="B19" s="9" t="s">
        <v>559</v>
      </c>
      <c r="C19" s="9" t="s">
        <v>547</v>
      </c>
      <c r="D19" s="9"/>
      <c r="E19" s="9" t="s">
        <v>508</v>
      </c>
      <c r="F19" s="9" t="s">
        <v>303</v>
      </c>
      <c r="G19" s="9" t="s">
        <v>560</v>
      </c>
      <c r="H19" s="9" t="s">
        <v>561</v>
      </c>
    </row>
    <row r="20" customFormat="false" ht="23.85" hidden="false" customHeight="false" outlineLevel="0" collapsed="false">
      <c r="A20" s="9" t="s">
        <v>562</v>
      </c>
      <c r="B20" s="9" t="s">
        <v>563</v>
      </c>
      <c r="C20" s="9" t="s">
        <v>564</v>
      </c>
      <c r="D20" s="9"/>
      <c r="E20" s="9" t="s">
        <v>508</v>
      </c>
      <c r="F20" s="9" t="s">
        <v>303</v>
      </c>
      <c r="G20" s="9" t="s">
        <v>565</v>
      </c>
      <c r="H20" s="9" t="s">
        <v>566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0" min="10" style="0" width="30"/>
  </cols>
  <sheetData>
    <row r="1" customFormat="false" ht="24" hidden="false" customHeight="true" outlineLevel="0" collapsed="false">
      <c r="A1" s="5" t="s">
        <v>567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6" t="s">
        <v>568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A3" s="6" t="s">
        <v>569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31.5" hidden="false" customHeight="true" outlineLevel="0" collapsed="false">
      <c r="A4" s="7" t="s">
        <v>570</v>
      </c>
      <c r="B4" s="7" t="s">
        <v>571</v>
      </c>
      <c r="C4" s="7" t="s">
        <v>572</v>
      </c>
      <c r="D4" s="7" t="s">
        <v>573</v>
      </c>
      <c r="E4" s="7" t="s">
        <v>574</v>
      </c>
      <c r="F4" s="7" t="s">
        <v>575</v>
      </c>
      <c r="G4" s="7" t="s">
        <v>576</v>
      </c>
      <c r="H4" s="7" t="s">
        <v>577</v>
      </c>
      <c r="I4" s="7" t="s">
        <v>578</v>
      </c>
      <c r="J4" s="7" t="s">
        <v>46</v>
      </c>
    </row>
    <row r="5" customFormat="false" ht="15" hidden="false" customHeight="false" outlineLevel="0" collapsed="false">
      <c r="A5" s="9" t="s">
        <v>579</v>
      </c>
      <c r="B5" s="9" t="s">
        <v>580</v>
      </c>
      <c r="C5" s="9" t="s">
        <v>581</v>
      </c>
      <c r="D5" s="9" t="n">
        <v>12</v>
      </c>
      <c r="E5" s="9" t="n">
        <v>0</v>
      </c>
      <c r="F5" s="9" t="n">
        <v>0</v>
      </c>
      <c r="G5" s="9" t="s">
        <v>267</v>
      </c>
      <c r="H5" s="12"/>
      <c r="I5" s="12"/>
      <c r="J5" s="9" t="s">
        <v>582</v>
      </c>
    </row>
    <row r="6" customFormat="false" ht="15" hidden="false" customHeight="false" outlineLevel="0" collapsed="false">
      <c r="A6" s="9" t="s">
        <v>583</v>
      </c>
      <c r="B6" s="9" t="s">
        <v>584</v>
      </c>
      <c r="C6" s="9" t="s">
        <v>585</v>
      </c>
      <c r="D6" s="9" t="n">
        <v>18</v>
      </c>
      <c r="E6" s="9" t="n">
        <v>0</v>
      </c>
      <c r="F6" s="9" t="n">
        <v>0</v>
      </c>
      <c r="G6" s="9" t="s">
        <v>267</v>
      </c>
      <c r="H6" s="12"/>
      <c r="I6" s="12"/>
      <c r="J6" s="9" t="s">
        <v>582</v>
      </c>
    </row>
    <row r="7" customFormat="false" ht="15" hidden="false" customHeight="false" outlineLevel="0" collapsed="false">
      <c r="A7" s="9" t="s">
        <v>586</v>
      </c>
      <c r="B7" s="9" t="s">
        <v>587</v>
      </c>
      <c r="C7" s="9" t="s">
        <v>588</v>
      </c>
      <c r="D7" s="9" t="n">
        <v>15</v>
      </c>
      <c r="E7" s="9" t="n">
        <v>0</v>
      </c>
      <c r="F7" s="9" t="n">
        <v>0</v>
      </c>
      <c r="G7" s="9" t="s">
        <v>267</v>
      </c>
      <c r="H7" s="12"/>
      <c r="I7" s="12"/>
      <c r="J7" s="9" t="s">
        <v>589</v>
      </c>
    </row>
    <row r="8" customFormat="false" ht="23.85" hidden="false" customHeight="false" outlineLevel="0" collapsed="false">
      <c r="A8" s="9" t="s">
        <v>590</v>
      </c>
      <c r="B8" s="9" t="s">
        <v>591</v>
      </c>
      <c r="C8" s="9" t="s">
        <v>592</v>
      </c>
      <c r="D8" s="9" t="n">
        <v>22</v>
      </c>
      <c r="E8" s="9" t="n">
        <v>0</v>
      </c>
      <c r="F8" s="9" t="n">
        <v>0</v>
      </c>
      <c r="G8" s="9" t="s">
        <v>267</v>
      </c>
      <c r="H8" s="12"/>
      <c r="I8" s="12"/>
      <c r="J8" s="9" t="s">
        <v>593</v>
      </c>
    </row>
    <row r="9" customFormat="false" ht="23.85" hidden="false" customHeight="false" outlineLevel="0" collapsed="false">
      <c r="A9" s="9" t="s">
        <v>594</v>
      </c>
      <c r="B9" s="9" t="s">
        <v>595</v>
      </c>
      <c r="C9" s="9" t="s">
        <v>596</v>
      </c>
      <c r="D9" s="9" t="n">
        <v>14</v>
      </c>
      <c r="E9" s="9" t="n">
        <v>0</v>
      </c>
      <c r="F9" s="9" t="n">
        <v>0</v>
      </c>
      <c r="G9" s="9" t="s">
        <v>267</v>
      </c>
      <c r="H9" s="12"/>
      <c r="I9" s="12"/>
      <c r="J9" s="9" t="s">
        <v>589</v>
      </c>
    </row>
    <row r="10" customFormat="false" ht="23.85" hidden="false" customHeight="false" outlineLevel="0" collapsed="false">
      <c r="A10" s="9" t="s">
        <v>597</v>
      </c>
      <c r="B10" s="9" t="s">
        <v>598</v>
      </c>
      <c r="C10" s="9" t="s">
        <v>599</v>
      </c>
      <c r="D10" s="9" t="n">
        <v>8</v>
      </c>
      <c r="E10" s="9" t="n">
        <v>0</v>
      </c>
      <c r="F10" s="9" t="n">
        <v>0</v>
      </c>
      <c r="G10" s="9" t="s">
        <v>267</v>
      </c>
      <c r="H10" s="12"/>
      <c r="I10" s="12"/>
      <c r="J10" s="9" t="s">
        <v>600</v>
      </c>
    </row>
    <row r="11" customFormat="false" ht="23.85" hidden="false" customHeight="false" outlineLevel="0" collapsed="false">
      <c r="A11" s="9" t="s">
        <v>601</v>
      </c>
      <c r="B11" s="9" t="s">
        <v>602</v>
      </c>
      <c r="C11" s="9" t="s">
        <v>603</v>
      </c>
      <c r="D11" s="9" t="n">
        <v>10</v>
      </c>
      <c r="E11" s="9" t="n">
        <v>0</v>
      </c>
      <c r="F11" s="9" t="n">
        <v>0</v>
      </c>
      <c r="G11" s="9" t="s">
        <v>267</v>
      </c>
      <c r="H11" s="12"/>
      <c r="I11" s="12"/>
      <c r="J11" s="9" t="s">
        <v>604</v>
      </c>
    </row>
    <row r="12" customFormat="false" ht="15" hidden="false" customHeight="false" outlineLevel="0" collapsed="false">
      <c r="A12" s="9" t="s">
        <v>605</v>
      </c>
      <c r="B12" s="9" t="s">
        <v>606</v>
      </c>
      <c r="C12" s="9" t="s">
        <v>607</v>
      </c>
      <c r="D12" s="9" t="n">
        <v>12</v>
      </c>
      <c r="E12" s="9" t="n">
        <v>0</v>
      </c>
      <c r="F12" s="9" t="n">
        <v>0</v>
      </c>
      <c r="G12" s="9" t="s">
        <v>267</v>
      </c>
      <c r="H12" s="12"/>
      <c r="I12" s="12"/>
      <c r="J12" s="9" t="s">
        <v>600</v>
      </c>
    </row>
    <row r="13" customFormat="false" ht="23.85" hidden="false" customHeight="false" outlineLevel="0" collapsed="false">
      <c r="A13" s="9" t="s">
        <v>608</v>
      </c>
      <c r="B13" s="9" t="s">
        <v>609</v>
      </c>
      <c r="C13" s="9" t="s">
        <v>610</v>
      </c>
      <c r="D13" s="9" t="n">
        <v>10</v>
      </c>
      <c r="E13" s="9" t="n">
        <v>0</v>
      </c>
      <c r="F13" s="9" t="n">
        <v>0</v>
      </c>
      <c r="G13" s="9" t="s">
        <v>267</v>
      </c>
      <c r="H13" s="12"/>
      <c r="I13" s="12"/>
      <c r="J13" s="9" t="s">
        <v>611</v>
      </c>
    </row>
    <row r="14" customFormat="false" ht="15" hidden="false" customHeight="false" outlineLevel="0" collapsed="false">
      <c r="A14" s="9" t="s">
        <v>612</v>
      </c>
      <c r="B14" s="9" t="s">
        <v>613</v>
      </c>
      <c r="C14" s="9" t="s">
        <v>614</v>
      </c>
      <c r="D14" s="9" t="n">
        <v>15</v>
      </c>
      <c r="E14" s="9" t="n">
        <v>0</v>
      </c>
      <c r="F14" s="9" t="n">
        <v>0</v>
      </c>
      <c r="G14" s="9" t="s">
        <v>267</v>
      </c>
      <c r="H14" s="12"/>
      <c r="I14" s="12"/>
      <c r="J14" s="9" t="s">
        <v>615</v>
      </c>
    </row>
    <row r="15" customFormat="false" ht="15" hidden="false" customHeight="false" outlineLevel="0" collapsed="false">
      <c r="A15" s="9" t="s">
        <v>616</v>
      </c>
      <c r="B15" s="9" t="s">
        <v>617</v>
      </c>
      <c r="C15" s="9" t="s">
        <v>618</v>
      </c>
      <c r="D15" s="9" t="n">
        <v>8</v>
      </c>
      <c r="E15" s="9" t="n">
        <v>0</v>
      </c>
      <c r="F15" s="9" t="n">
        <v>0</v>
      </c>
      <c r="G15" s="9" t="s">
        <v>267</v>
      </c>
      <c r="H15" s="12"/>
      <c r="I15" s="12"/>
      <c r="J15" s="9" t="s">
        <v>619</v>
      </c>
    </row>
    <row r="16" customFormat="false" ht="15" hidden="false" customHeight="false" outlineLevel="0" collapsed="false">
      <c r="A16" s="9" t="s">
        <v>620</v>
      </c>
      <c r="B16" s="9" t="s">
        <v>621</v>
      </c>
      <c r="C16" s="9" t="s">
        <v>622</v>
      </c>
      <c r="D16" s="9" t="n">
        <v>10</v>
      </c>
      <c r="E16" s="9" t="n">
        <v>0</v>
      </c>
      <c r="F16" s="9" t="n">
        <v>0</v>
      </c>
      <c r="G16" s="9" t="s">
        <v>267</v>
      </c>
      <c r="H16" s="12"/>
      <c r="I16" s="12"/>
      <c r="J16" s="9" t="s">
        <v>619</v>
      </c>
    </row>
    <row r="17" customFormat="false" ht="15" hidden="false" customHeight="false" outlineLevel="0" collapsed="false">
      <c r="A17" s="9" t="s">
        <v>623</v>
      </c>
      <c r="B17" s="9" t="s">
        <v>624</v>
      </c>
      <c r="C17" s="9" t="s">
        <v>625</v>
      </c>
      <c r="D17" s="9" t="n">
        <v>12</v>
      </c>
      <c r="E17" s="9" t="n">
        <v>0</v>
      </c>
      <c r="F17" s="9" t="n">
        <v>0</v>
      </c>
      <c r="G17" s="9" t="s">
        <v>267</v>
      </c>
      <c r="H17" s="12"/>
      <c r="I17" s="12"/>
      <c r="J17" s="9" t="s">
        <v>626</v>
      </c>
    </row>
    <row r="18" customFormat="false" ht="15" hidden="false" customHeight="false" outlineLevel="0" collapsed="false">
      <c r="A18" s="9" t="s">
        <v>627</v>
      </c>
      <c r="B18" s="9" t="s">
        <v>628</v>
      </c>
      <c r="C18" s="9" t="s">
        <v>629</v>
      </c>
      <c r="D18" s="9" t="n">
        <v>8</v>
      </c>
      <c r="E18" s="9" t="n">
        <v>0</v>
      </c>
      <c r="F18" s="9" t="n">
        <v>0</v>
      </c>
      <c r="G18" s="9" t="s">
        <v>267</v>
      </c>
      <c r="H18" s="12"/>
      <c r="I18" s="12"/>
      <c r="J18" s="9" t="s">
        <v>619</v>
      </c>
    </row>
    <row r="20" customFormat="false" ht="15" hidden="false" customHeight="false" outlineLevel="0" collapsed="false">
      <c r="C20" s="4" t="s">
        <v>630</v>
      </c>
      <c r="D20" s="4" t="n">
        <f aca="false">SUM(D5:D18)</f>
        <v>174</v>
      </c>
      <c r="E20" s="4" t="n">
        <f aca="false">SUM(E5:E18)</f>
        <v>0</v>
      </c>
      <c r="F20" s="4" t="n">
        <f aca="false">SUM(F5:F18)</f>
        <v>0</v>
      </c>
    </row>
  </sheetData>
  <mergeCells count="3">
    <mergeCell ref="A1:J1"/>
    <mergeCell ref="A2:J2"/>
    <mergeCell ref="A3:J3"/>
  </mergeCells>
  <conditionalFormatting sqref="G5:G100">
    <cfRule type="expression" priority="2" aboveAverage="0" equalAverage="0" bottom="0" percent="0" rank="0" text="" dxfId="0">
      <formula>$G5="Validated"</formula>
    </cfRule>
    <cfRule type="expression" priority="3" aboveAverage="0" equalAverage="0" bottom="0" percent="0" rank="0" text="" dxfId="1">
      <formula>$G5="In Progress"</formula>
    </cfRule>
    <cfRule type="expression" priority="4" aboveAverage="0" equalAverage="0" bottom="0" percent="0" rank="0" text="" dxfId="2">
      <formula>$G5="Needs Rework"</formula>
    </cfRule>
  </conditionalFormatting>
  <dataValidations count="1">
    <dataValidation allowBlank="true" errorStyle="stop" operator="between" showDropDown="false" showErrorMessage="false" showInputMessage="false" sqref="G5:G100" type="list">
      <formula1>"Not Started,In Progress,Under Review,Validated,Needs Rework"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2026-04-21T05:43:17Z</dcterms:created>
  <dc:creator>openpyxl</dc:creator>
  <dc:description/>
  <dc:language>en-US</dc:language>
  <cp:lastModifiedBy/>
  <dcterms:modified xsi:type="dcterms:W3CDTF">2026-04-21T05:43:18Z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